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52a6bf7c27329d/Área de Trabalho/TCC MBA/"/>
    </mc:Choice>
  </mc:AlternateContent>
  <xr:revisionPtr revIDLastSave="20" documentId="11_3088A30CD572CE0F62355476585DCE3A374738D3" xr6:coauthVersionLast="47" xr6:coauthVersionMax="47" xr10:uidLastSave="{CF2E11E7-F349-4840-835D-2C44767EB096}"/>
  <bookViews>
    <workbookView xWindow="-120" yWindow="-120" windowWidth="20730" windowHeight="11040" activeTab="1" xr2:uid="{00000000-000D-0000-FFFF-FFFF00000000}"/>
  </bookViews>
  <sheets>
    <sheet name="Tabelas" sheetId="1" r:id="rId1"/>
    <sheet name="Figuras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3" l="1"/>
  <c r="G21" i="3"/>
  <c r="G20" i="3"/>
</calcChain>
</file>

<file path=xl/sharedStrings.xml><?xml version="1.0" encoding="utf-8"?>
<sst xmlns="http://schemas.openxmlformats.org/spreadsheetml/2006/main" count="242" uniqueCount="109">
  <si>
    <t>Tabela 1</t>
  </si>
  <si>
    <t>Variável</t>
  </si>
  <si>
    <t>Categoria</t>
  </si>
  <si>
    <t>%</t>
  </si>
  <si>
    <t>N</t>
  </si>
  <si>
    <t>Faixa etária</t>
  </si>
  <si>
    <t>18–24 anos</t>
  </si>
  <si>
    <t>25–34 anos</t>
  </si>
  <si>
    <t>35–44 anos</t>
  </si>
  <si>
    <t>45–54 anos</t>
  </si>
  <si>
    <t>55 anos ou mais</t>
  </si>
  <si>
    <t>Gênero</t>
  </si>
  <si>
    <t>Feminino</t>
  </si>
  <si>
    <t>Masculino</t>
  </si>
  <si>
    <t>Escolaridade</t>
  </si>
  <si>
    <t>Ensino fundamental incompleto</t>
  </si>
  <si>
    <t>Ensino fundamental completo</t>
  </si>
  <si>
    <t>Ensino Médio incompleto</t>
  </si>
  <si>
    <t>Ensino médio completo</t>
  </si>
  <si>
    <t>Ensino superior incompleto</t>
  </si>
  <si>
    <t>Ensino superior completo</t>
  </si>
  <si>
    <t>Pós-graduação completa ou incompleta (Especializações, Mestrado, Doutorado)</t>
  </si>
  <si>
    <t>Renda familiar mensal</t>
  </si>
  <si>
    <t>Até R$ 3.000</t>
  </si>
  <si>
    <t>De R$ 3.001 a R$ 7.000</t>
  </si>
  <si>
    <t>De R$ 7.001 a R$ 15.000</t>
  </si>
  <si>
    <t>Acima de R$ 15.000</t>
  </si>
  <si>
    <t>Prefiro não responder</t>
  </si>
  <si>
    <t>Tabela 2</t>
  </si>
  <si>
    <t>Construto</t>
  </si>
  <si>
    <t>Média</t>
  </si>
  <si>
    <t>Desvio-padrão</t>
  </si>
  <si>
    <t>Mínimo</t>
  </si>
  <si>
    <t>Máximo</t>
  </si>
  <si>
    <t>IPRS</t>
  </si>
  <si>
    <t>ECS</t>
  </si>
  <si>
    <t>CC</t>
  </si>
  <si>
    <t>Tabela 3</t>
  </si>
  <si>
    <t>Nº de itens</t>
  </si>
  <si>
    <t>Alfa de Cronbach</t>
  </si>
  <si>
    <t>Tabela 4</t>
  </si>
  <si>
    <t>AVE</t>
  </si>
  <si>
    <t>√AVE</t>
  </si>
  <si>
    <t>Tabela 5</t>
  </si>
  <si>
    <t>Comparação</t>
  </si>
  <si>
    <t>√AVE (menor do par)</t>
  </si>
  <si>
    <t>Construto da √AVE</t>
  </si>
  <si>
    <t>Correlação</t>
  </si>
  <si>
    <t>Margem (√AVE - correlação)</t>
  </si>
  <si>
    <t>Atende ao critério?</t>
  </si>
  <si>
    <t>IPRS vs. ECS</t>
  </si>
  <si>
    <t>IPRS vs. CC</t>
  </si>
  <si>
    <t>ECS vs. CC</t>
  </si>
  <si>
    <t>Tabela 6</t>
  </si>
  <si>
    <t>Comportamento declarado</t>
  </si>
  <si>
    <t>n</t>
  </si>
  <si>
    <t>Compra influenciada por redes sociais</t>
  </si>
  <si>
    <t>0,377 (p&lt;0,001)</t>
  </si>
  <si>
    <t>0,298 (p=0,004)</t>
  </si>
  <si>
    <t>0,280 (p=0,007)</t>
  </si>
  <si>
    <t>Compra motivada por boa impressão</t>
  </si>
  <si>
    <t>0,275 (p=0,009)</t>
  </si>
  <si>
    <t>0,065 (p=0,543)</t>
  </si>
  <si>
    <t>0,508 (p&lt;0,001)</t>
  </si>
  <si>
    <t>Tabela 7</t>
  </si>
  <si>
    <t>Idade</t>
  </si>
  <si>
    <t>Renda</t>
  </si>
  <si>
    <t>Tabela 8</t>
  </si>
  <si>
    <t>Tabela 9</t>
  </si>
  <si>
    <t>Coeficiente (B)</t>
  </si>
  <si>
    <t>Erro-padrão</t>
  </si>
  <si>
    <t>t</t>
  </si>
  <si>
    <t>p-valor</t>
  </si>
  <si>
    <t>Constante</t>
  </si>
  <si>
    <t>&lt;0,001</t>
  </si>
  <si>
    <t>Tabela 9 - estatísticas</t>
  </si>
  <si>
    <t>Indicador</t>
  </si>
  <si>
    <t>Valor</t>
  </si>
  <si>
    <t>R²</t>
  </si>
  <si>
    <t>R² ajustado</t>
  </si>
  <si>
    <t>F</t>
  </si>
  <si>
    <t>p(F)</t>
  </si>
  <si>
    <t>Tabela 10</t>
  </si>
  <si>
    <t>Tabela 10 - estatísticas</t>
  </si>
  <si>
    <t>Tabela 11</t>
  </si>
  <si>
    <t>Variável independente</t>
  </si>
  <si>
    <t>0,107</t>
  </si>
  <si>
    <t>0,490</t>
  </si>
  <si>
    <t>0,438</t>
  </si>
  <si>
    <t>0,241</t>
  </si>
  <si>
    <t>Tabela 13</t>
  </si>
  <si>
    <t>0,724</t>
  </si>
  <si>
    <t>0,002</t>
  </si>
  <si>
    <t>Tabela 13 - estatísticas</t>
  </si>
  <si>
    <t>Tabela 14</t>
  </si>
  <si>
    <t>VIF</t>
  </si>
  <si>
    <t>Tabela 12</t>
  </si>
  <si>
    <t>0,293</t>
  </si>
  <si>
    <t>0,965</t>
  </si>
  <si>
    <t>0,525</t>
  </si>
  <si>
    <t>0,010</t>
  </si>
  <si>
    <t>0,536</t>
  </si>
  <si>
    <t>0,225</t>
  </si>
  <si>
    <t>Tabela 12 - estatísticas</t>
  </si>
  <si>
    <t>Exposição a Conteúdos de Consumo e Status (ECS)</t>
  </si>
  <si>
    <t>Influência percebida Redes Sociais (IPRS)</t>
  </si>
  <si>
    <t>Consumo Conspicuo (CC)</t>
  </si>
  <si>
    <t>y = 0,622x + 1,005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</si>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</sst>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2" applyFont="1"/>
    <xf numFmtId="0" fontId="3" fillId="0" borderId="0" xfId="2"/>
    <xf numFmtId="0" fontId="4" fillId="0" borderId="0" xfId="2" quotePrefix="1" applyFont="1"/>
    <xf numFmtId="170" fontId="4" fillId="0" borderId="0" xfId="1" applyNumberFormat="1" applyFont="1"/>
    <xf numFmtId="170" fontId="3" fillId="0" borderId="0" xfId="1" applyNumberFormat="1" applyFont="1"/>
  </cellXfs>
  <cellStyles count="3">
    <cellStyle name="Normal" xfId="0" builtinId="0"/>
    <cellStyle name="Normal 2" xfId="2" xr:uid="{3773D31E-30FA-45DC-B3E3-B76338E9E7A9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Figuras!$C$1</c:f>
              <c:strCache>
                <c:ptCount val="1"/>
                <c:pt idx="0">
                  <c:v> Consumo Conspicuo (CC)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Linha de tendência para Consumo Conspicuo (CC)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Figuras!$B$2:$B$1000</c:f>
              <c:numCache>
                <c:formatCode>_-* #,##0_-;\-* #,##0_-;_-* "-"??_-;_-@_-</c:formatCode>
                <c:ptCount val="999"/>
                <c:pt idx="0">
                  <c:v>4</c:v>
                </c:pt>
                <c:pt idx="1">
                  <c:v>2.8</c:v>
                </c:pt>
                <c:pt idx="2">
                  <c:v>2.8</c:v>
                </c:pt>
                <c:pt idx="3">
                  <c:v>1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3</c:v>
                </c:pt>
                <c:pt idx="8">
                  <c:v>1.4</c:v>
                </c:pt>
                <c:pt idx="9">
                  <c:v>1</c:v>
                </c:pt>
                <c:pt idx="10">
                  <c:v>4</c:v>
                </c:pt>
                <c:pt idx="11">
                  <c:v>2.6</c:v>
                </c:pt>
                <c:pt idx="12">
                  <c:v>1.2</c:v>
                </c:pt>
                <c:pt idx="13">
                  <c:v>2.8</c:v>
                </c:pt>
                <c:pt idx="14">
                  <c:v>4.8</c:v>
                </c:pt>
                <c:pt idx="15">
                  <c:v>1</c:v>
                </c:pt>
                <c:pt idx="16">
                  <c:v>3.4</c:v>
                </c:pt>
                <c:pt idx="17">
                  <c:v>2.8</c:v>
                </c:pt>
                <c:pt idx="18">
                  <c:v>2.8</c:v>
                </c:pt>
                <c:pt idx="19">
                  <c:v>3.8</c:v>
                </c:pt>
                <c:pt idx="20">
                  <c:v>1.6</c:v>
                </c:pt>
                <c:pt idx="21">
                  <c:v>1.6</c:v>
                </c:pt>
                <c:pt idx="22">
                  <c:v>1</c:v>
                </c:pt>
                <c:pt idx="23">
                  <c:v>1.2</c:v>
                </c:pt>
                <c:pt idx="24">
                  <c:v>1.4</c:v>
                </c:pt>
                <c:pt idx="25">
                  <c:v>3.6</c:v>
                </c:pt>
                <c:pt idx="26">
                  <c:v>2.4</c:v>
                </c:pt>
                <c:pt idx="27">
                  <c:v>3.8</c:v>
                </c:pt>
                <c:pt idx="28">
                  <c:v>3.8</c:v>
                </c:pt>
                <c:pt idx="29">
                  <c:v>1.8</c:v>
                </c:pt>
                <c:pt idx="30">
                  <c:v>2.6</c:v>
                </c:pt>
                <c:pt idx="31">
                  <c:v>1</c:v>
                </c:pt>
                <c:pt idx="32">
                  <c:v>1.8</c:v>
                </c:pt>
                <c:pt idx="33">
                  <c:v>1.4</c:v>
                </c:pt>
                <c:pt idx="34">
                  <c:v>1.2</c:v>
                </c:pt>
                <c:pt idx="35">
                  <c:v>2.2000000000000002</c:v>
                </c:pt>
                <c:pt idx="36">
                  <c:v>1</c:v>
                </c:pt>
                <c:pt idx="37">
                  <c:v>3.4</c:v>
                </c:pt>
                <c:pt idx="38">
                  <c:v>4</c:v>
                </c:pt>
                <c:pt idx="39">
                  <c:v>2.6</c:v>
                </c:pt>
                <c:pt idx="40">
                  <c:v>1.8</c:v>
                </c:pt>
                <c:pt idx="41">
                  <c:v>1.2</c:v>
                </c:pt>
                <c:pt idx="42">
                  <c:v>1.8</c:v>
                </c:pt>
                <c:pt idx="43">
                  <c:v>3.2</c:v>
                </c:pt>
                <c:pt idx="44">
                  <c:v>2.6</c:v>
                </c:pt>
                <c:pt idx="45">
                  <c:v>1.4</c:v>
                </c:pt>
                <c:pt idx="46">
                  <c:v>2</c:v>
                </c:pt>
                <c:pt idx="47">
                  <c:v>1</c:v>
                </c:pt>
                <c:pt idx="48">
                  <c:v>1.2</c:v>
                </c:pt>
                <c:pt idx="49">
                  <c:v>1.2</c:v>
                </c:pt>
                <c:pt idx="50">
                  <c:v>4</c:v>
                </c:pt>
                <c:pt idx="51">
                  <c:v>1.4</c:v>
                </c:pt>
                <c:pt idx="52">
                  <c:v>1.6</c:v>
                </c:pt>
                <c:pt idx="53">
                  <c:v>3.4</c:v>
                </c:pt>
                <c:pt idx="54">
                  <c:v>2</c:v>
                </c:pt>
                <c:pt idx="55">
                  <c:v>1.4</c:v>
                </c:pt>
                <c:pt idx="56">
                  <c:v>1</c:v>
                </c:pt>
                <c:pt idx="57">
                  <c:v>1</c:v>
                </c:pt>
                <c:pt idx="58">
                  <c:v>2.8</c:v>
                </c:pt>
                <c:pt idx="59">
                  <c:v>2.4</c:v>
                </c:pt>
                <c:pt idx="60">
                  <c:v>1</c:v>
                </c:pt>
                <c:pt idx="61">
                  <c:v>4</c:v>
                </c:pt>
                <c:pt idx="62">
                  <c:v>2.2000000000000002</c:v>
                </c:pt>
                <c:pt idx="63">
                  <c:v>3.2</c:v>
                </c:pt>
                <c:pt idx="64">
                  <c:v>4</c:v>
                </c:pt>
                <c:pt idx="65">
                  <c:v>3.6</c:v>
                </c:pt>
                <c:pt idx="66">
                  <c:v>2.8</c:v>
                </c:pt>
                <c:pt idx="67">
                  <c:v>2.4</c:v>
                </c:pt>
                <c:pt idx="68">
                  <c:v>3.2</c:v>
                </c:pt>
                <c:pt idx="69">
                  <c:v>2.6</c:v>
                </c:pt>
                <c:pt idx="70">
                  <c:v>1.8</c:v>
                </c:pt>
                <c:pt idx="71">
                  <c:v>1</c:v>
                </c:pt>
                <c:pt idx="72">
                  <c:v>4.4000000000000004</c:v>
                </c:pt>
                <c:pt idx="73">
                  <c:v>1.6</c:v>
                </c:pt>
                <c:pt idx="74">
                  <c:v>3.2</c:v>
                </c:pt>
                <c:pt idx="75">
                  <c:v>1</c:v>
                </c:pt>
                <c:pt idx="76">
                  <c:v>1.8</c:v>
                </c:pt>
                <c:pt idx="77">
                  <c:v>1.8</c:v>
                </c:pt>
                <c:pt idx="78">
                  <c:v>3</c:v>
                </c:pt>
                <c:pt idx="79">
                  <c:v>1.4</c:v>
                </c:pt>
                <c:pt idx="80">
                  <c:v>1</c:v>
                </c:pt>
                <c:pt idx="81">
                  <c:v>3</c:v>
                </c:pt>
                <c:pt idx="82">
                  <c:v>1.8</c:v>
                </c:pt>
                <c:pt idx="83">
                  <c:v>1</c:v>
                </c:pt>
                <c:pt idx="84">
                  <c:v>1.8</c:v>
                </c:pt>
                <c:pt idx="85">
                  <c:v>2</c:v>
                </c:pt>
                <c:pt idx="86">
                  <c:v>1.8</c:v>
                </c:pt>
                <c:pt idx="87">
                  <c:v>2.4</c:v>
                </c:pt>
                <c:pt idx="88">
                  <c:v>1.6</c:v>
                </c:pt>
                <c:pt idx="89">
                  <c:v>4</c:v>
                </c:pt>
              </c:numCache>
            </c:numRef>
          </c:xVal>
          <c:yVal>
            <c:numRef>
              <c:f>Figuras!$C$2:$C$1000</c:f>
              <c:numCache>
                <c:formatCode>_-* #,##0_-;\-* #,##0_-;_-* "-"??_-;_-@_-</c:formatCode>
                <c:ptCount val="999"/>
                <c:pt idx="0">
                  <c:v>2.875</c:v>
                </c:pt>
                <c:pt idx="1">
                  <c:v>4</c:v>
                </c:pt>
                <c:pt idx="2">
                  <c:v>2.125</c:v>
                </c:pt>
                <c:pt idx="3">
                  <c:v>2.625</c:v>
                </c:pt>
                <c:pt idx="4">
                  <c:v>2.875</c:v>
                </c:pt>
                <c:pt idx="5">
                  <c:v>2.125</c:v>
                </c:pt>
                <c:pt idx="6">
                  <c:v>2.375</c:v>
                </c:pt>
                <c:pt idx="7">
                  <c:v>3.375</c:v>
                </c:pt>
                <c:pt idx="8">
                  <c:v>2.625</c:v>
                </c:pt>
                <c:pt idx="9">
                  <c:v>1.375</c:v>
                </c:pt>
                <c:pt idx="10">
                  <c:v>3.875</c:v>
                </c:pt>
                <c:pt idx="11">
                  <c:v>2.875</c:v>
                </c:pt>
                <c:pt idx="12">
                  <c:v>1.75</c:v>
                </c:pt>
                <c:pt idx="13">
                  <c:v>2.875</c:v>
                </c:pt>
                <c:pt idx="14">
                  <c:v>4.25</c:v>
                </c:pt>
                <c:pt idx="15">
                  <c:v>1.625</c:v>
                </c:pt>
                <c:pt idx="16">
                  <c:v>3.875</c:v>
                </c:pt>
                <c:pt idx="17">
                  <c:v>2.375</c:v>
                </c:pt>
                <c:pt idx="18">
                  <c:v>3.25</c:v>
                </c:pt>
                <c:pt idx="19">
                  <c:v>2.375</c:v>
                </c:pt>
                <c:pt idx="20">
                  <c:v>2.125</c:v>
                </c:pt>
                <c:pt idx="21">
                  <c:v>2.125</c:v>
                </c:pt>
                <c:pt idx="22">
                  <c:v>1</c:v>
                </c:pt>
                <c:pt idx="23">
                  <c:v>1.5</c:v>
                </c:pt>
                <c:pt idx="24">
                  <c:v>1.75</c:v>
                </c:pt>
                <c:pt idx="25">
                  <c:v>4</c:v>
                </c:pt>
                <c:pt idx="26">
                  <c:v>2.875</c:v>
                </c:pt>
                <c:pt idx="27">
                  <c:v>3.375</c:v>
                </c:pt>
                <c:pt idx="28">
                  <c:v>3</c:v>
                </c:pt>
                <c:pt idx="29">
                  <c:v>1.625</c:v>
                </c:pt>
                <c:pt idx="30">
                  <c:v>2.375</c:v>
                </c:pt>
                <c:pt idx="31">
                  <c:v>1</c:v>
                </c:pt>
                <c:pt idx="32">
                  <c:v>1.625</c:v>
                </c:pt>
                <c:pt idx="33">
                  <c:v>1.875</c:v>
                </c:pt>
                <c:pt idx="34">
                  <c:v>1.25</c:v>
                </c:pt>
                <c:pt idx="35">
                  <c:v>2</c:v>
                </c:pt>
                <c:pt idx="36">
                  <c:v>1.5</c:v>
                </c:pt>
                <c:pt idx="37">
                  <c:v>3</c:v>
                </c:pt>
                <c:pt idx="38">
                  <c:v>3.625</c:v>
                </c:pt>
                <c:pt idx="39">
                  <c:v>2.125</c:v>
                </c:pt>
                <c:pt idx="40">
                  <c:v>3.375</c:v>
                </c:pt>
                <c:pt idx="41">
                  <c:v>2.375</c:v>
                </c:pt>
                <c:pt idx="42">
                  <c:v>2.375</c:v>
                </c:pt>
                <c:pt idx="43">
                  <c:v>2.25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1.125</c:v>
                </c:pt>
                <c:pt idx="48">
                  <c:v>2</c:v>
                </c:pt>
                <c:pt idx="49">
                  <c:v>1.875</c:v>
                </c:pt>
                <c:pt idx="50">
                  <c:v>3.75</c:v>
                </c:pt>
                <c:pt idx="51">
                  <c:v>1.125</c:v>
                </c:pt>
                <c:pt idx="52">
                  <c:v>2.875</c:v>
                </c:pt>
                <c:pt idx="53">
                  <c:v>2.75</c:v>
                </c:pt>
                <c:pt idx="54">
                  <c:v>3.375</c:v>
                </c:pt>
                <c:pt idx="55">
                  <c:v>2.375</c:v>
                </c:pt>
                <c:pt idx="56">
                  <c:v>1</c:v>
                </c:pt>
                <c:pt idx="57">
                  <c:v>1.125</c:v>
                </c:pt>
                <c:pt idx="58">
                  <c:v>3.25</c:v>
                </c:pt>
                <c:pt idx="59">
                  <c:v>3.75</c:v>
                </c:pt>
                <c:pt idx="60">
                  <c:v>1.25</c:v>
                </c:pt>
                <c:pt idx="61">
                  <c:v>2.875</c:v>
                </c:pt>
                <c:pt idx="62">
                  <c:v>1.875</c:v>
                </c:pt>
                <c:pt idx="63">
                  <c:v>3.5</c:v>
                </c:pt>
                <c:pt idx="64">
                  <c:v>3.125</c:v>
                </c:pt>
                <c:pt idx="65">
                  <c:v>3.875</c:v>
                </c:pt>
                <c:pt idx="66">
                  <c:v>2.75</c:v>
                </c:pt>
                <c:pt idx="67">
                  <c:v>2.125</c:v>
                </c:pt>
                <c:pt idx="68">
                  <c:v>3.5</c:v>
                </c:pt>
                <c:pt idx="69">
                  <c:v>1.875</c:v>
                </c:pt>
                <c:pt idx="70">
                  <c:v>1.375</c:v>
                </c:pt>
                <c:pt idx="71">
                  <c:v>2</c:v>
                </c:pt>
                <c:pt idx="72">
                  <c:v>2.875</c:v>
                </c:pt>
                <c:pt idx="73">
                  <c:v>2</c:v>
                </c:pt>
                <c:pt idx="74">
                  <c:v>3.625</c:v>
                </c:pt>
                <c:pt idx="75">
                  <c:v>1</c:v>
                </c:pt>
                <c:pt idx="76">
                  <c:v>1.25</c:v>
                </c:pt>
                <c:pt idx="77">
                  <c:v>1</c:v>
                </c:pt>
                <c:pt idx="78">
                  <c:v>2.75</c:v>
                </c:pt>
                <c:pt idx="79">
                  <c:v>1.5</c:v>
                </c:pt>
                <c:pt idx="80">
                  <c:v>2.375</c:v>
                </c:pt>
                <c:pt idx="81">
                  <c:v>3.625</c:v>
                </c:pt>
                <c:pt idx="82">
                  <c:v>1</c:v>
                </c:pt>
                <c:pt idx="83">
                  <c:v>1.625</c:v>
                </c:pt>
                <c:pt idx="84">
                  <c:v>1</c:v>
                </c:pt>
                <c:pt idx="85">
                  <c:v>2.375</c:v>
                </c:pt>
                <c:pt idx="86">
                  <c:v>2.625</c:v>
                </c:pt>
                <c:pt idx="87">
                  <c:v>3.25</c:v>
                </c:pt>
                <c:pt idx="88">
                  <c:v>1.375</c:v>
                </c:pt>
                <c:pt idx="89">
                  <c:v>3.125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09-43EF-8590-64FCF3544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24027"/>
        <c:axId val="1490374337"/>
      </c:scatterChart>
      <c:valAx>
        <c:axId val="13085240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Influência percebida Redes Sociais (IPRS)</a:t>
                </a:r>
              </a:p>
            </c:rich>
          </c:tx>
          <c:overlay val="0"/>
        </c:title>
        <c:numFmt formatCode="_-* #,##0_-;\-* #,##0_-;_-* &quot;-&quot;??_-;_-@_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0374337"/>
        <c:crosses val="autoZero"/>
        <c:crossBetween val="midCat"/>
      </c:valAx>
      <c:valAx>
        <c:axId val="1490374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Consumo Conspicuo (CC)</a:t>
                </a:r>
              </a:p>
            </c:rich>
          </c:tx>
          <c:overlay val="0"/>
        </c:title>
        <c:numFmt formatCode="_-* #,##0_-;\-* #,##0_-;_-* &quot;-&quot;??_-;_-@_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0852402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Figuras!$C$1</c:f>
              <c:strCache>
                <c:ptCount val="1"/>
                <c:pt idx="0">
                  <c:v> Consumo Conspicuo (CC)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Linha de tendência para Consumo Conspicuo (CC)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Figuras!$A$2:$A$1000</c:f>
              <c:numCache>
                <c:formatCode>_-* #,##0_-;\-* #,##0_-;_-* "-"??_-;_-@_-</c:formatCode>
                <c:ptCount val="999"/>
                <c:pt idx="0">
                  <c:v>2</c:v>
                </c:pt>
                <c:pt idx="1">
                  <c:v>2</c:v>
                </c:pt>
                <c:pt idx="2">
                  <c:v>1.8181818181818181</c:v>
                </c:pt>
                <c:pt idx="3">
                  <c:v>1.1818181818181819</c:v>
                </c:pt>
                <c:pt idx="4">
                  <c:v>2.6363636363636362</c:v>
                </c:pt>
                <c:pt idx="5">
                  <c:v>1.8181818181818181</c:v>
                </c:pt>
                <c:pt idx="6">
                  <c:v>1.4545454545454546</c:v>
                </c:pt>
                <c:pt idx="7">
                  <c:v>1.9090909090909092</c:v>
                </c:pt>
                <c:pt idx="8">
                  <c:v>2.1818181818181817</c:v>
                </c:pt>
                <c:pt idx="9">
                  <c:v>2.0909090909090908</c:v>
                </c:pt>
                <c:pt idx="10">
                  <c:v>2.0909090909090908</c:v>
                </c:pt>
                <c:pt idx="11">
                  <c:v>2.6363636363636362</c:v>
                </c:pt>
                <c:pt idx="12">
                  <c:v>1.2727272727272727</c:v>
                </c:pt>
                <c:pt idx="13">
                  <c:v>2.3636363636363638</c:v>
                </c:pt>
                <c:pt idx="14">
                  <c:v>1.6363636363636365</c:v>
                </c:pt>
                <c:pt idx="15">
                  <c:v>1.1818181818181819</c:v>
                </c:pt>
                <c:pt idx="16">
                  <c:v>2.0909090909090908</c:v>
                </c:pt>
                <c:pt idx="17">
                  <c:v>3</c:v>
                </c:pt>
                <c:pt idx="18">
                  <c:v>1.8181818181818181</c:v>
                </c:pt>
                <c:pt idx="19">
                  <c:v>2.4545454545454546</c:v>
                </c:pt>
                <c:pt idx="20">
                  <c:v>1.5454545454545454</c:v>
                </c:pt>
                <c:pt idx="21">
                  <c:v>1.7272727272727273</c:v>
                </c:pt>
                <c:pt idx="22">
                  <c:v>1</c:v>
                </c:pt>
                <c:pt idx="23">
                  <c:v>1.7272727272727273</c:v>
                </c:pt>
                <c:pt idx="24">
                  <c:v>1.0909090909090908</c:v>
                </c:pt>
                <c:pt idx="25">
                  <c:v>2.2727272727272729</c:v>
                </c:pt>
                <c:pt idx="26">
                  <c:v>2.7272727272727271</c:v>
                </c:pt>
                <c:pt idx="27">
                  <c:v>3</c:v>
                </c:pt>
                <c:pt idx="28">
                  <c:v>2</c:v>
                </c:pt>
                <c:pt idx="29">
                  <c:v>1.4545454545454546</c:v>
                </c:pt>
                <c:pt idx="30">
                  <c:v>2.5454545454545454</c:v>
                </c:pt>
                <c:pt idx="31">
                  <c:v>1</c:v>
                </c:pt>
                <c:pt idx="32">
                  <c:v>4</c:v>
                </c:pt>
                <c:pt idx="33">
                  <c:v>1.4545454545454546</c:v>
                </c:pt>
                <c:pt idx="34">
                  <c:v>1.5454545454545454</c:v>
                </c:pt>
                <c:pt idx="35">
                  <c:v>2.8181818181818183</c:v>
                </c:pt>
                <c:pt idx="36">
                  <c:v>1.8181818181818181</c:v>
                </c:pt>
                <c:pt idx="37">
                  <c:v>2.6363636363636362</c:v>
                </c:pt>
                <c:pt idx="38">
                  <c:v>3.3636363636363638</c:v>
                </c:pt>
                <c:pt idx="39">
                  <c:v>3.1818181818181817</c:v>
                </c:pt>
                <c:pt idx="40">
                  <c:v>1.5454545454545454</c:v>
                </c:pt>
                <c:pt idx="41">
                  <c:v>1.4545454545454546</c:v>
                </c:pt>
                <c:pt idx="42">
                  <c:v>1.7272727272727273</c:v>
                </c:pt>
                <c:pt idx="43">
                  <c:v>2.4545454545454546</c:v>
                </c:pt>
                <c:pt idx="44">
                  <c:v>2.1818181818181817</c:v>
                </c:pt>
                <c:pt idx="45">
                  <c:v>2</c:v>
                </c:pt>
                <c:pt idx="46">
                  <c:v>3.3636363636363638</c:v>
                </c:pt>
                <c:pt idx="47">
                  <c:v>1.5454545454545454</c:v>
                </c:pt>
                <c:pt idx="48">
                  <c:v>1.2727272727272727</c:v>
                </c:pt>
                <c:pt idx="49">
                  <c:v>1.6363636363636365</c:v>
                </c:pt>
                <c:pt idx="50">
                  <c:v>2.6363636363636362</c:v>
                </c:pt>
                <c:pt idx="51">
                  <c:v>1</c:v>
                </c:pt>
                <c:pt idx="52">
                  <c:v>1.4545454545454546</c:v>
                </c:pt>
                <c:pt idx="53">
                  <c:v>3.7272727272727271</c:v>
                </c:pt>
                <c:pt idx="54">
                  <c:v>2.9090909090909092</c:v>
                </c:pt>
                <c:pt idx="55">
                  <c:v>2.7272727272727271</c:v>
                </c:pt>
                <c:pt idx="56">
                  <c:v>1.0909090909090908</c:v>
                </c:pt>
                <c:pt idx="57">
                  <c:v>1.5454545454545454</c:v>
                </c:pt>
                <c:pt idx="58">
                  <c:v>2.4545454545454546</c:v>
                </c:pt>
                <c:pt idx="59">
                  <c:v>1.5454545454545454</c:v>
                </c:pt>
                <c:pt idx="60">
                  <c:v>1.9090909090909092</c:v>
                </c:pt>
                <c:pt idx="61">
                  <c:v>3.0909090909090908</c:v>
                </c:pt>
                <c:pt idx="62">
                  <c:v>2.1818181818181817</c:v>
                </c:pt>
                <c:pt idx="63">
                  <c:v>3</c:v>
                </c:pt>
                <c:pt idx="64">
                  <c:v>3.1818181818181817</c:v>
                </c:pt>
                <c:pt idx="65">
                  <c:v>3.1818181818181817</c:v>
                </c:pt>
                <c:pt idx="66">
                  <c:v>1.1818181818181819</c:v>
                </c:pt>
                <c:pt idx="67">
                  <c:v>3.3636363636363638</c:v>
                </c:pt>
                <c:pt idx="68">
                  <c:v>2.8181818181818183</c:v>
                </c:pt>
                <c:pt idx="69">
                  <c:v>2.0909090909090908</c:v>
                </c:pt>
                <c:pt idx="70">
                  <c:v>2.1818181818181817</c:v>
                </c:pt>
                <c:pt idx="71">
                  <c:v>1.0909090909090908</c:v>
                </c:pt>
                <c:pt idx="72">
                  <c:v>2.4545454545454546</c:v>
                </c:pt>
                <c:pt idx="73">
                  <c:v>2</c:v>
                </c:pt>
                <c:pt idx="74">
                  <c:v>2.4545454545454546</c:v>
                </c:pt>
                <c:pt idx="75">
                  <c:v>1</c:v>
                </c:pt>
                <c:pt idx="76">
                  <c:v>2.1818181818181817</c:v>
                </c:pt>
                <c:pt idx="77">
                  <c:v>1.0909090909090908</c:v>
                </c:pt>
                <c:pt idx="78">
                  <c:v>2.6363636363636362</c:v>
                </c:pt>
                <c:pt idx="79">
                  <c:v>1.7272727272727273</c:v>
                </c:pt>
                <c:pt idx="80">
                  <c:v>2.3636363636363638</c:v>
                </c:pt>
                <c:pt idx="81">
                  <c:v>2.0909090909090908</c:v>
                </c:pt>
                <c:pt idx="82">
                  <c:v>2</c:v>
                </c:pt>
                <c:pt idx="83">
                  <c:v>1.0909090909090908</c:v>
                </c:pt>
                <c:pt idx="84">
                  <c:v>2</c:v>
                </c:pt>
                <c:pt idx="85">
                  <c:v>2.0909090909090908</c:v>
                </c:pt>
                <c:pt idx="86">
                  <c:v>2.3636363636363638</c:v>
                </c:pt>
                <c:pt idx="87">
                  <c:v>1.4545454545454546</c:v>
                </c:pt>
                <c:pt idx="88">
                  <c:v>1.1818181818181819</c:v>
                </c:pt>
                <c:pt idx="89">
                  <c:v>2</c:v>
                </c:pt>
              </c:numCache>
            </c:numRef>
          </c:xVal>
          <c:yVal>
            <c:numRef>
              <c:f>Figuras!$C$2:$C$1000</c:f>
              <c:numCache>
                <c:formatCode>_-* #,##0_-;\-* #,##0_-;_-* "-"??_-;_-@_-</c:formatCode>
                <c:ptCount val="999"/>
                <c:pt idx="0">
                  <c:v>2.875</c:v>
                </c:pt>
                <c:pt idx="1">
                  <c:v>4</c:v>
                </c:pt>
                <c:pt idx="2">
                  <c:v>2.125</c:v>
                </c:pt>
                <c:pt idx="3">
                  <c:v>2.625</c:v>
                </c:pt>
                <c:pt idx="4">
                  <c:v>2.875</c:v>
                </c:pt>
                <c:pt idx="5">
                  <c:v>2.125</c:v>
                </c:pt>
                <c:pt idx="6">
                  <c:v>2.375</c:v>
                </c:pt>
                <c:pt idx="7">
                  <c:v>3.375</c:v>
                </c:pt>
                <c:pt idx="8">
                  <c:v>2.625</c:v>
                </c:pt>
                <c:pt idx="9">
                  <c:v>1.375</c:v>
                </c:pt>
                <c:pt idx="10">
                  <c:v>3.875</c:v>
                </c:pt>
                <c:pt idx="11">
                  <c:v>2.875</c:v>
                </c:pt>
                <c:pt idx="12">
                  <c:v>1.75</c:v>
                </c:pt>
                <c:pt idx="13">
                  <c:v>2.875</c:v>
                </c:pt>
                <c:pt idx="14">
                  <c:v>4.25</c:v>
                </c:pt>
                <c:pt idx="15">
                  <c:v>1.625</c:v>
                </c:pt>
                <c:pt idx="16">
                  <c:v>3.875</c:v>
                </c:pt>
                <c:pt idx="17">
                  <c:v>2.375</c:v>
                </c:pt>
                <c:pt idx="18">
                  <c:v>3.25</c:v>
                </c:pt>
                <c:pt idx="19">
                  <c:v>2.375</c:v>
                </c:pt>
                <c:pt idx="20">
                  <c:v>2.125</c:v>
                </c:pt>
                <c:pt idx="21">
                  <c:v>2.125</c:v>
                </c:pt>
                <c:pt idx="22">
                  <c:v>1</c:v>
                </c:pt>
                <c:pt idx="23">
                  <c:v>1.5</c:v>
                </c:pt>
                <c:pt idx="24">
                  <c:v>1.75</c:v>
                </c:pt>
                <c:pt idx="25">
                  <c:v>4</c:v>
                </c:pt>
                <c:pt idx="26">
                  <c:v>2.875</c:v>
                </c:pt>
                <c:pt idx="27">
                  <c:v>3.375</c:v>
                </c:pt>
                <c:pt idx="28">
                  <c:v>3</c:v>
                </c:pt>
                <c:pt idx="29">
                  <c:v>1.625</c:v>
                </c:pt>
                <c:pt idx="30">
                  <c:v>2.375</c:v>
                </c:pt>
                <c:pt idx="31">
                  <c:v>1</c:v>
                </c:pt>
                <c:pt idx="32">
                  <c:v>1.625</c:v>
                </c:pt>
                <c:pt idx="33">
                  <c:v>1.875</c:v>
                </c:pt>
                <c:pt idx="34">
                  <c:v>1.25</c:v>
                </c:pt>
                <c:pt idx="35">
                  <c:v>2</c:v>
                </c:pt>
                <c:pt idx="36">
                  <c:v>1.5</c:v>
                </c:pt>
                <c:pt idx="37">
                  <c:v>3</c:v>
                </c:pt>
                <c:pt idx="38">
                  <c:v>3.625</c:v>
                </c:pt>
                <c:pt idx="39">
                  <c:v>2.125</c:v>
                </c:pt>
                <c:pt idx="40">
                  <c:v>3.375</c:v>
                </c:pt>
                <c:pt idx="41">
                  <c:v>2.375</c:v>
                </c:pt>
                <c:pt idx="42">
                  <c:v>2.375</c:v>
                </c:pt>
                <c:pt idx="43">
                  <c:v>2.25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1.125</c:v>
                </c:pt>
                <c:pt idx="48">
                  <c:v>2</c:v>
                </c:pt>
                <c:pt idx="49">
                  <c:v>1.875</c:v>
                </c:pt>
                <c:pt idx="50">
                  <c:v>3.75</c:v>
                </c:pt>
                <c:pt idx="51">
                  <c:v>1.125</c:v>
                </c:pt>
                <c:pt idx="52">
                  <c:v>2.875</c:v>
                </c:pt>
                <c:pt idx="53">
                  <c:v>2.75</c:v>
                </c:pt>
                <c:pt idx="54">
                  <c:v>3.375</c:v>
                </c:pt>
                <c:pt idx="55">
                  <c:v>2.375</c:v>
                </c:pt>
                <c:pt idx="56">
                  <c:v>1</c:v>
                </c:pt>
                <c:pt idx="57">
                  <c:v>1.125</c:v>
                </c:pt>
                <c:pt idx="58">
                  <c:v>3.25</c:v>
                </c:pt>
                <c:pt idx="59">
                  <c:v>3.75</c:v>
                </c:pt>
                <c:pt idx="60">
                  <c:v>1.25</c:v>
                </c:pt>
                <c:pt idx="61">
                  <c:v>2.875</c:v>
                </c:pt>
                <c:pt idx="62">
                  <c:v>1.875</c:v>
                </c:pt>
                <c:pt idx="63">
                  <c:v>3.5</c:v>
                </c:pt>
                <c:pt idx="64">
                  <c:v>3.125</c:v>
                </c:pt>
                <c:pt idx="65">
                  <c:v>3.875</c:v>
                </c:pt>
                <c:pt idx="66">
                  <c:v>2.75</c:v>
                </c:pt>
                <c:pt idx="67">
                  <c:v>2.125</c:v>
                </c:pt>
                <c:pt idx="68">
                  <c:v>3.5</c:v>
                </c:pt>
                <c:pt idx="69">
                  <c:v>1.875</c:v>
                </c:pt>
                <c:pt idx="70">
                  <c:v>1.375</c:v>
                </c:pt>
                <c:pt idx="71">
                  <c:v>2</c:v>
                </c:pt>
                <c:pt idx="72">
                  <c:v>2.875</c:v>
                </c:pt>
                <c:pt idx="73">
                  <c:v>2</c:v>
                </c:pt>
                <c:pt idx="74">
                  <c:v>3.625</c:v>
                </c:pt>
                <c:pt idx="75">
                  <c:v>1</c:v>
                </c:pt>
                <c:pt idx="76">
                  <c:v>1.25</c:v>
                </c:pt>
                <c:pt idx="77">
                  <c:v>1</c:v>
                </c:pt>
                <c:pt idx="78">
                  <c:v>2.75</c:v>
                </c:pt>
                <c:pt idx="79">
                  <c:v>1.5</c:v>
                </c:pt>
                <c:pt idx="80">
                  <c:v>2.375</c:v>
                </c:pt>
                <c:pt idx="81">
                  <c:v>3.625</c:v>
                </c:pt>
                <c:pt idx="82">
                  <c:v>1</c:v>
                </c:pt>
                <c:pt idx="83">
                  <c:v>1.625</c:v>
                </c:pt>
                <c:pt idx="84">
                  <c:v>1</c:v>
                </c:pt>
                <c:pt idx="85">
                  <c:v>2.375</c:v>
                </c:pt>
                <c:pt idx="86">
                  <c:v>2.625</c:v>
                </c:pt>
                <c:pt idx="87">
                  <c:v>3.25</c:v>
                </c:pt>
                <c:pt idx="88">
                  <c:v>1.375</c:v>
                </c:pt>
                <c:pt idx="89">
                  <c:v>3.125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83-46DA-8BDF-9C805B458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264079"/>
        <c:axId val="2103379533"/>
      </c:scatterChart>
      <c:valAx>
        <c:axId val="1668264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Exposição a Conteúdos de Consumo e Status (ECS)</a:t>
                </a:r>
              </a:p>
            </c:rich>
          </c:tx>
          <c:overlay val="0"/>
        </c:title>
        <c:numFmt formatCode="_-* #,##0_-;\-* #,##0_-;_-* &quot;-&quot;??_-;_-@_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103379533"/>
        <c:crosses val="autoZero"/>
        <c:crossBetween val="midCat"/>
      </c:valAx>
      <c:valAx>
        <c:axId val="2103379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Consumo Conspicuo (CC)</a:t>
                </a:r>
              </a:p>
            </c:rich>
          </c:tx>
          <c:overlay val="0"/>
        </c:title>
        <c:numFmt formatCode="_-* #,##0_-;\-* #,##0_-;_-* &quot;-&quot;??_-;_-@_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6826407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0</xdr:row>
      <xdr:rowOff>66675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44377FC2-B3F4-4982-9D3C-69ED042B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514350</xdr:colOff>
      <xdr:row>0</xdr:row>
      <xdr:rowOff>114300</xdr:rowOff>
    </xdr:from>
    <xdr:ext cx="5715000" cy="35337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9901663F-0A0C-4E6B-901C-C723B8040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952a6bf7c27329d/&#193;rea%20de%20Trabalho/TCC%20MBA/Pesquisa%20-%20Consumo%20Consp&#237;cuo.xlsx" TargetMode="External"/><Relationship Id="rId1" Type="http://schemas.openxmlformats.org/officeDocument/2006/relationships/externalLinkPath" Target="Pesquisa%20-%20Consumo%20Consp&#237;cu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postas ao formulário 1"/>
      <sheetName val="Base Resultados preliminares"/>
      <sheetName val="Base Resultado Final"/>
      <sheetName val="1. Perfil da amostra"/>
      <sheetName val="2. Análise construtos"/>
      <sheetName val="3. Regressões"/>
      <sheetName val="Gráficos"/>
      <sheetName val="Códigos Python usados no Spyder"/>
      <sheetName val="Referência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Consumo Conspicuo (CC)</v>
          </cell>
        </row>
        <row r="2">
          <cell r="A2">
            <v>2</v>
          </cell>
          <cell r="B2">
            <v>4</v>
          </cell>
          <cell r="C2">
            <v>2.875</v>
          </cell>
        </row>
        <row r="3">
          <cell r="A3">
            <v>2</v>
          </cell>
          <cell r="B3">
            <v>2.8</v>
          </cell>
          <cell r="C3">
            <v>4</v>
          </cell>
        </row>
        <row r="4">
          <cell r="A4">
            <v>1.8181818181818181</v>
          </cell>
          <cell r="B4">
            <v>2.8</v>
          </cell>
          <cell r="C4">
            <v>2.125</v>
          </cell>
        </row>
        <row r="5">
          <cell r="A5">
            <v>1.1818181818181819</v>
          </cell>
          <cell r="B5">
            <v>1</v>
          </cell>
          <cell r="C5">
            <v>2.625</v>
          </cell>
        </row>
        <row r="6">
          <cell r="A6">
            <v>2.6363636363636362</v>
          </cell>
          <cell r="B6">
            <v>1.2</v>
          </cell>
          <cell r="C6">
            <v>2.875</v>
          </cell>
        </row>
        <row r="7">
          <cell r="A7">
            <v>1.8181818181818181</v>
          </cell>
          <cell r="B7">
            <v>1.2</v>
          </cell>
          <cell r="C7">
            <v>2.125</v>
          </cell>
        </row>
        <row r="8">
          <cell r="A8">
            <v>1.4545454545454546</v>
          </cell>
          <cell r="B8">
            <v>1.2</v>
          </cell>
          <cell r="C8">
            <v>2.375</v>
          </cell>
        </row>
        <row r="9">
          <cell r="A9">
            <v>1.9090909090909092</v>
          </cell>
          <cell r="B9">
            <v>3</v>
          </cell>
          <cell r="C9">
            <v>3.375</v>
          </cell>
        </row>
        <row r="10">
          <cell r="A10">
            <v>2.1818181818181817</v>
          </cell>
          <cell r="B10">
            <v>1.4</v>
          </cell>
          <cell r="C10">
            <v>2.625</v>
          </cell>
        </row>
        <row r="11">
          <cell r="A11">
            <v>2.0909090909090908</v>
          </cell>
          <cell r="B11">
            <v>1</v>
          </cell>
          <cell r="C11">
            <v>1.375</v>
          </cell>
        </row>
        <row r="12">
          <cell r="A12">
            <v>2.0909090909090908</v>
          </cell>
          <cell r="B12">
            <v>4</v>
          </cell>
          <cell r="C12">
            <v>3.875</v>
          </cell>
        </row>
        <row r="13">
          <cell r="A13">
            <v>2.6363636363636362</v>
          </cell>
          <cell r="B13">
            <v>2.6</v>
          </cell>
          <cell r="C13">
            <v>2.875</v>
          </cell>
        </row>
        <row r="14">
          <cell r="A14">
            <v>1.2727272727272727</v>
          </cell>
          <cell r="B14">
            <v>1.2</v>
          </cell>
          <cell r="C14">
            <v>1.75</v>
          </cell>
        </row>
        <row r="15">
          <cell r="A15">
            <v>2.3636363636363638</v>
          </cell>
          <cell r="B15">
            <v>2.8</v>
          </cell>
          <cell r="C15">
            <v>2.875</v>
          </cell>
        </row>
        <row r="16">
          <cell r="A16">
            <v>1.6363636363636365</v>
          </cell>
          <cell r="B16">
            <v>4.8</v>
          </cell>
          <cell r="C16">
            <v>4.25</v>
          </cell>
        </row>
        <row r="17">
          <cell r="A17">
            <v>1.1818181818181819</v>
          </cell>
          <cell r="B17">
            <v>1</v>
          </cell>
          <cell r="C17">
            <v>1.625</v>
          </cell>
        </row>
        <row r="18">
          <cell r="A18">
            <v>2.0909090909090908</v>
          </cell>
          <cell r="B18">
            <v>3.4</v>
          </cell>
          <cell r="C18">
            <v>3.875</v>
          </cell>
        </row>
        <row r="19">
          <cell r="A19">
            <v>3</v>
          </cell>
          <cell r="B19">
            <v>2.8</v>
          </cell>
          <cell r="C19">
            <v>2.375</v>
          </cell>
        </row>
        <row r="20">
          <cell r="A20">
            <v>1.8181818181818181</v>
          </cell>
          <cell r="B20">
            <v>2.8</v>
          </cell>
          <cell r="C20">
            <v>3.25</v>
          </cell>
        </row>
        <row r="21">
          <cell r="A21">
            <v>2.4545454545454546</v>
          </cell>
          <cell r="B21">
            <v>3.8</v>
          </cell>
          <cell r="C21">
            <v>2.375</v>
          </cell>
        </row>
        <row r="22">
          <cell r="A22">
            <v>1.5454545454545454</v>
          </cell>
          <cell r="B22">
            <v>1.6</v>
          </cell>
          <cell r="C22">
            <v>2.125</v>
          </cell>
        </row>
        <row r="23">
          <cell r="A23">
            <v>1.7272727272727273</v>
          </cell>
          <cell r="B23">
            <v>1.6</v>
          </cell>
          <cell r="C23">
            <v>2.125</v>
          </cell>
        </row>
        <row r="24">
          <cell r="A24">
            <v>1</v>
          </cell>
          <cell r="B24">
            <v>1</v>
          </cell>
          <cell r="C24">
            <v>1</v>
          </cell>
        </row>
        <row r="25">
          <cell r="A25">
            <v>1.7272727272727273</v>
          </cell>
          <cell r="B25">
            <v>1.2</v>
          </cell>
          <cell r="C25">
            <v>1.5</v>
          </cell>
        </row>
        <row r="26">
          <cell r="A26">
            <v>1.0909090909090908</v>
          </cell>
          <cell r="B26">
            <v>1.4</v>
          </cell>
          <cell r="C26">
            <v>1.75</v>
          </cell>
        </row>
        <row r="27">
          <cell r="A27">
            <v>2.2727272727272729</v>
          </cell>
          <cell r="B27">
            <v>3.6</v>
          </cell>
          <cell r="C27">
            <v>4</v>
          </cell>
        </row>
        <row r="28">
          <cell r="A28">
            <v>2.7272727272727271</v>
          </cell>
          <cell r="B28">
            <v>2.4</v>
          </cell>
          <cell r="C28">
            <v>2.875</v>
          </cell>
        </row>
        <row r="29">
          <cell r="A29">
            <v>3</v>
          </cell>
          <cell r="B29">
            <v>3.8</v>
          </cell>
          <cell r="C29">
            <v>3.375</v>
          </cell>
        </row>
        <row r="30">
          <cell r="A30">
            <v>2</v>
          </cell>
          <cell r="B30">
            <v>3.8</v>
          </cell>
          <cell r="C30">
            <v>3</v>
          </cell>
        </row>
        <row r="31">
          <cell r="A31">
            <v>1.4545454545454546</v>
          </cell>
          <cell r="B31">
            <v>1.8</v>
          </cell>
          <cell r="C31">
            <v>1.625</v>
          </cell>
        </row>
        <row r="32">
          <cell r="A32">
            <v>2.5454545454545454</v>
          </cell>
          <cell r="B32">
            <v>2.6</v>
          </cell>
          <cell r="C32">
            <v>2.375</v>
          </cell>
        </row>
        <row r="33">
          <cell r="A33">
            <v>1</v>
          </cell>
          <cell r="B33">
            <v>1</v>
          </cell>
          <cell r="C33">
            <v>1</v>
          </cell>
        </row>
        <row r="34">
          <cell r="A34">
            <v>4</v>
          </cell>
          <cell r="B34">
            <v>1.8</v>
          </cell>
          <cell r="C34">
            <v>1.625</v>
          </cell>
        </row>
        <row r="35">
          <cell r="A35">
            <v>1.4545454545454546</v>
          </cell>
          <cell r="B35">
            <v>1.4</v>
          </cell>
          <cell r="C35">
            <v>1.875</v>
          </cell>
        </row>
        <row r="36">
          <cell r="A36">
            <v>1.5454545454545454</v>
          </cell>
          <cell r="B36">
            <v>1.2</v>
          </cell>
          <cell r="C36">
            <v>1.25</v>
          </cell>
        </row>
        <row r="37">
          <cell r="A37">
            <v>2.8181818181818183</v>
          </cell>
          <cell r="B37">
            <v>2.2000000000000002</v>
          </cell>
          <cell r="C37">
            <v>2</v>
          </cell>
        </row>
        <row r="38">
          <cell r="A38">
            <v>1.8181818181818181</v>
          </cell>
          <cell r="B38">
            <v>1</v>
          </cell>
          <cell r="C38">
            <v>1.5</v>
          </cell>
        </row>
        <row r="39">
          <cell r="A39">
            <v>2.6363636363636362</v>
          </cell>
          <cell r="B39">
            <v>3.4</v>
          </cell>
          <cell r="C39">
            <v>3</v>
          </cell>
        </row>
        <row r="40">
          <cell r="A40">
            <v>3.3636363636363638</v>
          </cell>
          <cell r="B40">
            <v>4</v>
          </cell>
          <cell r="C40">
            <v>3.625</v>
          </cell>
        </row>
        <row r="41">
          <cell r="A41">
            <v>3.1818181818181817</v>
          </cell>
          <cell r="B41">
            <v>2.6</v>
          </cell>
          <cell r="C41">
            <v>2.125</v>
          </cell>
        </row>
        <row r="42">
          <cell r="A42">
            <v>1.5454545454545454</v>
          </cell>
          <cell r="B42">
            <v>1.8</v>
          </cell>
          <cell r="C42">
            <v>3.375</v>
          </cell>
        </row>
        <row r="43">
          <cell r="A43">
            <v>1.4545454545454546</v>
          </cell>
          <cell r="B43">
            <v>1.2</v>
          </cell>
          <cell r="C43">
            <v>2.375</v>
          </cell>
        </row>
        <row r="44">
          <cell r="A44">
            <v>1.7272727272727273</v>
          </cell>
          <cell r="B44">
            <v>1.8</v>
          </cell>
          <cell r="C44">
            <v>2.375</v>
          </cell>
        </row>
        <row r="45">
          <cell r="A45">
            <v>2.4545454545454546</v>
          </cell>
          <cell r="B45">
            <v>3.2</v>
          </cell>
          <cell r="C45">
            <v>2.25</v>
          </cell>
        </row>
        <row r="46">
          <cell r="A46">
            <v>2.1818181818181817</v>
          </cell>
          <cell r="B46">
            <v>2.6</v>
          </cell>
          <cell r="C46">
            <v>2</v>
          </cell>
        </row>
        <row r="47">
          <cell r="A47">
            <v>2</v>
          </cell>
          <cell r="B47">
            <v>1.4</v>
          </cell>
          <cell r="C47">
            <v>2</v>
          </cell>
        </row>
        <row r="48">
          <cell r="A48">
            <v>3.3636363636363638</v>
          </cell>
          <cell r="B48">
            <v>2</v>
          </cell>
          <cell r="C48">
            <v>3</v>
          </cell>
        </row>
        <row r="49">
          <cell r="A49">
            <v>1.5454545454545454</v>
          </cell>
          <cell r="B49">
            <v>1</v>
          </cell>
          <cell r="C49">
            <v>1.125</v>
          </cell>
        </row>
        <row r="50">
          <cell r="A50">
            <v>1.2727272727272727</v>
          </cell>
          <cell r="B50">
            <v>1.2</v>
          </cell>
          <cell r="C50">
            <v>2</v>
          </cell>
        </row>
        <row r="51">
          <cell r="A51">
            <v>1.6363636363636365</v>
          </cell>
          <cell r="B51">
            <v>1.2</v>
          </cell>
          <cell r="C51">
            <v>1.875</v>
          </cell>
        </row>
        <row r="52">
          <cell r="A52">
            <v>2.6363636363636362</v>
          </cell>
          <cell r="B52">
            <v>4</v>
          </cell>
          <cell r="C52">
            <v>3.75</v>
          </cell>
        </row>
        <row r="53">
          <cell r="A53">
            <v>1</v>
          </cell>
          <cell r="B53">
            <v>1.4</v>
          </cell>
          <cell r="C53">
            <v>1.125</v>
          </cell>
        </row>
        <row r="54">
          <cell r="A54">
            <v>1.4545454545454546</v>
          </cell>
          <cell r="B54">
            <v>1.6</v>
          </cell>
          <cell r="C54">
            <v>2.875</v>
          </cell>
        </row>
        <row r="55">
          <cell r="A55">
            <v>3.7272727272727271</v>
          </cell>
          <cell r="B55">
            <v>3.4</v>
          </cell>
          <cell r="C55">
            <v>2.75</v>
          </cell>
        </row>
        <row r="56">
          <cell r="A56">
            <v>2.9090909090909092</v>
          </cell>
          <cell r="B56">
            <v>2</v>
          </cell>
          <cell r="C56">
            <v>3.375</v>
          </cell>
        </row>
        <row r="57">
          <cell r="A57">
            <v>2.7272727272727271</v>
          </cell>
          <cell r="B57">
            <v>1.4</v>
          </cell>
          <cell r="C57">
            <v>2.375</v>
          </cell>
        </row>
        <row r="58">
          <cell r="A58">
            <v>1.0909090909090908</v>
          </cell>
          <cell r="B58">
            <v>1</v>
          </cell>
          <cell r="C58">
            <v>1</v>
          </cell>
        </row>
        <row r="59">
          <cell r="A59">
            <v>1.5454545454545454</v>
          </cell>
          <cell r="B59">
            <v>1</v>
          </cell>
          <cell r="C59">
            <v>1.125</v>
          </cell>
        </row>
        <row r="60">
          <cell r="A60">
            <v>2.4545454545454546</v>
          </cell>
          <cell r="B60">
            <v>2.8</v>
          </cell>
          <cell r="C60">
            <v>3.25</v>
          </cell>
        </row>
        <row r="61">
          <cell r="A61">
            <v>1.5454545454545454</v>
          </cell>
          <cell r="B61">
            <v>2.4</v>
          </cell>
          <cell r="C61">
            <v>3.75</v>
          </cell>
        </row>
        <row r="62">
          <cell r="A62">
            <v>1.9090909090909092</v>
          </cell>
          <cell r="B62">
            <v>1</v>
          </cell>
          <cell r="C62">
            <v>1.25</v>
          </cell>
        </row>
        <row r="63">
          <cell r="A63">
            <v>3.0909090909090908</v>
          </cell>
          <cell r="B63">
            <v>4</v>
          </cell>
          <cell r="C63">
            <v>2.875</v>
          </cell>
        </row>
        <row r="64">
          <cell r="A64">
            <v>2.1818181818181817</v>
          </cell>
          <cell r="B64">
            <v>2.2000000000000002</v>
          </cell>
          <cell r="C64">
            <v>1.875</v>
          </cell>
        </row>
        <row r="65">
          <cell r="A65">
            <v>3</v>
          </cell>
          <cell r="B65">
            <v>3.2</v>
          </cell>
          <cell r="C65">
            <v>3.5</v>
          </cell>
        </row>
        <row r="66">
          <cell r="A66">
            <v>3.1818181818181817</v>
          </cell>
          <cell r="B66">
            <v>4</v>
          </cell>
          <cell r="C66">
            <v>3.125</v>
          </cell>
        </row>
        <row r="67">
          <cell r="A67">
            <v>3.1818181818181817</v>
          </cell>
          <cell r="B67">
            <v>3.6</v>
          </cell>
          <cell r="C67">
            <v>3.875</v>
          </cell>
        </row>
        <row r="68">
          <cell r="A68">
            <v>1.1818181818181819</v>
          </cell>
          <cell r="B68">
            <v>2.8</v>
          </cell>
          <cell r="C68">
            <v>2.75</v>
          </cell>
        </row>
        <row r="69">
          <cell r="A69">
            <v>3.3636363636363638</v>
          </cell>
          <cell r="B69">
            <v>2.4</v>
          </cell>
          <cell r="C69">
            <v>2.125</v>
          </cell>
        </row>
        <row r="70">
          <cell r="A70">
            <v>2.8181818181818183</v>
          </cell>
          <cell r="B70">
            <v>3.2</v>
          </cell>
          <cell r="C70">
            <v>3.5</v>
          </cell>
        </row>
        <row r="71">
          <cell r="A71">
            <v>2.0909090909090908</v>
          </cell>
          <cell r="B71">
            <v>2.6</v>
          </cell>
          <cell r="C71">
            <v>1.875</v>
          </cell>
        </row>
        <row r="72">
          <cell r="A72">
            <v>2.1818181818181817</v>
          </cell>
          <cell r="B72">
            <v>1.8</v>
          </cell>
          <cell r="C72">
            <v>1.375</v>
          </cell>
        </row>
        <row r="73">
          <cell r="A73">
            <v>1.0909090909090908</v>
          </cell>
          <cell r="B73">
            <v>1</v>
          </cell>
          <cell r="C73">
            <v>2</v>
          </cell>
        </row>
        <row r="74">
          <cell r="A74">
            <v>2.4545454545454546</v>
          </cell>
          <cell r="B74">
            <v>4.4000000000000004</v>
          </cell>
          <cell r="C74">
            <v>2.875</v>
          </cell>
        </row>
        <row r="75">
          <cell r="A75">
            <v>2</v>
          </cell>
          <cell r="B75">
            <v>1.6</v>
          </cell>
          <cell r="C75">
            <v>2</v>
          </cell>
        </row>
        <row r="76">
          <cell r="A76">
            <v>2.4545454545454546</v>
          </cell>
          <cell r="B76">
            <v>3.2</v>
          </cell>
          <cell r="C76">
            <v>3.625</v>
          </cell>
        </row>
        <row r="77">
          <cell r="A77">
            <v>1</v>
          </cell>
          <cell r="B77">
            <v>1</v>
          </cell>
          <cell r="C77">
            <v>1</v>
          </cell>
        </row>
        <row r="78">
          <cell r="A78">
            <v>2.1818181818181817</v>
          </cell>
          <cell r="B78">
            <v>1.8</v>
          </cell>
          <cell r="C78">
            <v>1.25</v>
          </cell>
        </row>
        <row r="79">
          <cell r="A79">
            <v>1.0909090909090908</v>
          </cell>
          <cell r="B79">
            <v>1.8</v>
          </cell>
          <cell r="C79">
            <v>1</v>
          </cell>
        </row>
        <row r="80">
          <cell r="A80">
            <v>2.6363636363636362</v>
          </cell>
          <cell r="B80">
            <v>3</v>
          </cell>
          <cell r="C80">
            <v>2.75</v>
          </cell>
        </row>
        <row r="81">
          <cell r="A81">
            <v>1.7272727272727273</v>
          </cell>
          <cell r="B81">
            <v>1.4</v>
          </cell>
          <cell r="C81">
            <v>1.5</v>
          </cell>
        </row>
        <row r="82">
          <cell r="A82">
            <v>2.3636363636363638</v>
          </cell>
          <cell r="B82">
            <v>1</v>
          </cell>
          <cell r="C82">
            <v>2.375</v>
          </cell>
        </row>
        <row r="83">
          <cell r="A83">
            <v>2.0909090909090908</v>
          </cell>
          <cell r="B83">
            <v>3</v>
          </cell>
          <cell r="C83">
            <v>3.625</v>
          </cell>
        </row>
        <row r="84">
          <cell r="A84">
            <v>2</v>
          </cell>
          <cell r="B84">
            <v>1.8</v>
          </cell>
          <cell r="C84">
            <v>1</v>
          </cell>
        </row>
        <row r="85">
          <cell r="A85">
            <v>1.0909090909090908</v>
          </cell>
          <cell r="B85">
            <v>1</v>
          </cell>
          <cell r="C85">
            <v>1.625</v>
          </cell>
        </row>
        <row r="86">
          <cell r="A86">
            <v>2</v>
          </cell>
          <cell r="B86">
            <v>1.8</v>
          </cell>
          <cell r="C86">
            <v>1</v>
          </cell>
        </row>
        <row r="87">
          <cell r="A87">
            <v>2.0909090909090908</v>
          </cell>
          <cell r="B87">
            <v>2</v>
          </cell>
          <cell r="C87">
            <v>2.375</v>
          </cell>
        </row>
        <row r="88">
          <cell r="A88">
            <v>2.3636363636363638</v>
          </cell>
          <cell r="B88">
            <v>1.8</v>
          </cell>
          <cell r="C88">
            <v>2.625</v>
          </cell>
        </row>
        <row r="89">
          <cell r="A89">
            <v>1.4545454545454546</v>
          </cell>
          <cell r="B89">
            <v>2.4</v>
          </cell>
          <cell r="C89">
            <v>3.25</v>
          </cell>
        </row>
        <row r="90">
          <cell r="A90">
            <v>1.1818181818181819</v>
          </cell>
          <cell r="B90">
            <v>1.6</v>
          </cell>
          <cell r="C90">
            <v>1.375</v>
          </cell>
        </row>
        <row r="91">
          <cell r="A91">
            <v>2</v>
          </cell>
          <cell r="B91">
            <v>4</v>
          </cell>
          <cell r="C91">
            <v>3.125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workbookViewId="0"/>
  </sheetViews>
  <sheetFormatPr defaultRowHeight="15" x14ac:dyDescent="0.25"/>
  <cols>
    <col min="1" max="1" width="35.28515625" bestFit="1" customWidth="1"/>
    <col min="2" max="2" width="73.140625" bestFit="1" customWidth="1"/>
  </cols>
  <sheetData>
    <row r="1" spans="1:4" x14ac:dyDescent="0.25">
      <c r="A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B3" t="s">
        <v>6</v>
      </c>
      <c r="C3">
        <v>4.4400000000000004</v>
      </c>
      <c r="D3">
        <v>4</v>
      </c>
    </row>
    <row r="4" spans="1:4" x14ac:dyDescent="0.25">
      <c r="A4" t="s">
        <v>5</v>
      </c>
      <c r="B4" t="s">
        <v>7</v>
      </c>
      <c r="C4">
        <v>52.22</v>
      </c>
      <c r="D4">
        <v>47</v>
      </c>
    </row>
    <row r="5" spans="1:4" x14ac:dyDescent="0.25">
      <c r="A5" t="s">
        <v>5</v>
      </c>
      <c r="B5" t="s">
        <v>8</v>
      </c>
      <c r="C5">
        <v>26.67</v>
      </c>
      <c r="D5">
        <v>24</v>
      </c>
    </row>
    <row r="6" spans="1:4" x14ac:dyDescent="0.25">
      <c r="A6" t="s">
        <v>5</v>
      </c>
      <c r="B6" t="s">
        <v>9</v>
      </c>
      <c r="C6">
        <v>7.78</v>
      </c>
      <c r="D6">
        <v>7</v>
      </c>
    </row>
    <row r="7" spans="1:4" x14ac:dyDescent="0.25">
      <c r="A7" t="s">
        <v>5</v>
      </c>
      <c r="B7" t="s">
        <v>10</v>
      </c>
      <c r="C7">
        <v>8.89</v>
      </c>
      <c r="D7">
        <v>8</v>
      </c>
    </row>
    <row r="8" spans="1:4" x14ac:dyDescent="0.25">
      <c r="A8" t="s">
        <v>11</v>
      </c>
      <c r="B8" t="s">
        <v>12</v>
      </c>
      <c r="C8">
        <v>62.22</v>
      </c>
      <c r="D8">
        <v>56</v>
      </c>
    </row>
    <row r="9" spans="1:4" x14ac:dyDescent="0.25">
      <c r="A9" t="s">
        <v>11</v>
      </c>
      <c r="B9" t="s">
        <v>13</v>
      </c>
      <c r="C9">
        <v>37.78</v>
      </c>
      <c r="D9">
        <v>34</v>
      </c>
    </row>
    <row r="10" spans="1:4" x14ac:dyDescent="0.25">
      <c r="A10" t="s">
        <v>14</v>
      </c>
      <c r="B10" t="s">
        <v>15</v>
      </c>
      <c r="C10">
        <v>1.1100000000000001</v>
      </c>
      <c r="D10">
        <v>1</v>
      </c>
    </row>
    <row r="11" spans="1:4" x14ac:dyDescent="0.25">
      <c r="A11" t="s">
        <v>14</v>
      </c>
      <c r="B11" t="s">
        <v>16</v>
      </c>
      <c r="C11">
        <v>2.2200000000000002</v>
      </c>
      <c r="D11">
        <v>2</v>
      </c>
    </row>
    <row r="12" spans="1:4" x14ac:dyDescent="0.25">
      <c r="A12" t="s">
        <v>14</v>
      </c>
      <c r="B12" t="s">
        <v>17</v>
      </c>
      <c r="C12">
        <v>1.1100000000000001</v>
      </c>
      <c r="D12">
        <v>1</v>
      </c>
    </row>
    <row r="13" spans="1:4" x14ac:dyDescent="0.25">
      <c r="A13" t="s">
        <v>14</v>
      </c>
      <c r="B13" t="s">
        <v>18</v>
      </c>
      <c r="C13">
        <v>3.33</v>
      </c>
      <c r="D13">
        <v>3</v>
      </c>
    </row>
    <row r="14" spans="1:4" x14ac:dyDescent="0.25">
      <c r="A14" t="s">
        <v>14</v>
      </c>
      <c r="B14" t="s">
        <v>19</v>
      </c>
      <c r="C14">
        <v>1.1100000000000001</v>
      </c>
      <c r="D14">
        <v>1</v>
      </c>
    </row>
    <row r="15" spans="1:4" x14ac:dyDescent="0.25">
      <c r="A15" t="s">
        <v>14</v>
      </c>
      <c r="B15" t="s">
        <v>20</v>
      </c>
      <c r="C15">
        <v>14.44</v>
      </c>
      <c r="D15">
        <v>13</v>
      </c>
    </row>
    <row r="16" spans="1:4" x14ac:dyDescent="0.25">
      <c r="A16" t="s">
        <v>14</v>
      </c>
      <c r="B16" t="s">
        <v>21</v>
      </c>
      <c r="C16">
        <v>76.67</v>
      </c>
      <c r="D16">
        <v>69</v>
      </c>
    </row>
    <row r="17" spans="1:5" x14ac:dyDescent="0.25">
      <c r="A17" t="s">
        <v>22</v>
      </c>
      <c r="B17" t="s">
        <v>23</v>
      </c>
      <c r="C17">
        <v>7.78</v>
      </c>
      <c r="D17">
        <v>7</v>
      </c>
    </row>
    <row r="18" spans="1:5" x14ac:dyDescent="0.25">
      <c r="A18" t="s">
        <v>22</v>
      </c>
      <c r="B18" t="s">
        <v>24</v>
      </c>
      <c r="C18">
        <v>30</v>
      </c>
      <c r="D18">
        <v>27</v>
      </c>
    </row>
    <row r="19" spans="1:5" x14ac:dyDescent="0.25">
      <c r="A19" t="s">
        <v>22</v>
      </c>
      <c r="B19" t="s">
        <v>25</v>
      </c>
      <c r="C19">
        <v>35.56</v>
      </c>
      <c r="D19">
        <v>32</v>
      </c>
    </row>
    <row r="20" spans="1:5" x14ac:dyDescent="0.25">
      <c r="A20" t="s">
        <v>22</v>
      </c>
      <c r="B20" t="s">
        <v>26</v>
      </c>
      <c r="C20">
        <v>21.11</v>
      </c>
      <c r="D20">
        <v>19</v>
      </c>
    </row>
    <row r="21" spans="1:5" x14ac:dyDescent="0.25">
      <c r="A21" t="s">
        <v>22</v>
      </c>
      <c r="B21" t="s">
        <v>27</v>
      </c>
      <c r="C21">
        <v>5.56</v>
      </c>
      <c r="D21">
        <v>5</v>
      </c>
    </row>
    <row r="24" spans="1:5" x14ac:dyDescent="0.25">
      <c r="A24" t="s">
        <v>28</v>
      </c>
    </row>
    <row r="25" spans="1:5" x14ac:dyDescent="0.25">
      <c r="A25" s="1" t="s">
        <v>29</v>
      </c>
      <c r="B25" s="1" t="s">
        <v>30</v>
      </c>
      <c r="C25" s="1" t="s">
        <v>31</v>
      </c>
      <c r="D25" s="1" t="s">
        <v>32</v>
      </c>
      <c r="E25" s="1" t="s">
        <v>33</v>
      </c>
    </row>
    <row r="26" spans="1:5" x14ac:dyDescent="0.25">
      <c r="A26" t="s">
        <v>34</v>
      </c>
      <c r="B26">
        <v>2.23</v>
      </c>
      <c r="C26">
        <v>1.04</v>
      </c>
      <c r="D26">
        <v>1</v>
      </c>
      <c r="E26">
        <v>4.8</v>
      </c>
    </row>
    <row r="27" spans="1:5" x14ac:dyDescent="0.25">
      <c r="A27" t="s">
        <v>35</v>
      </c>
      <c r="B27">
        <v>2.0699999999999998</v>
      </c>
      <c r="C27">
        <v>0.7</v>
      </c>
      <c r="D27">
        <v>1</v>
      </c>
      <c r="E27">
        <v>4</v>
      </c>
    </row>
    <row r="28" spans="1:5" x14ac:dyDescent="0.25">
      <c r="A28" t="s">
        <v>36</v>
      </c>
      <c r="B28">
        <v>2.39</v>
      </c>
      <c r="C28">
        <v>0.89</v>
      </c>
      <c r="D28">
        <v>1</v>
      </c>
      <c r="E28">
        <v>4.25</v>
      </c>
    </row>
    <row r="31" spans="1:5" x14ac:dyDescent="0.25">
      <c r="A31" t="s">
        <v>37</v>
      </c>
    </row>
    <row r="32" spans="1:5" x14ac:dyDescent="0.25">
      <c r="A32" s="1" t="s">
        <v>29</v>
      </c>
      <c r="B32" s="1" t="s">
        <v>38</v>
      </c>
      <c r="C32" s="1" t="s">
        <v>39</v>
      </c>
    </row>
    <row r="33" spans="1:6" x14ac:dyDescent="0.25">
      <c r="A33" t="s">
        <v>34</v>
      </c>
      <c r="B33">
        <v>5</v>
      </c>
      <c r="C33">
        <v>0.9</v>
      </c>
    </row>
    <row r="34" spans="1:6" x14ac:dyDescent="0.25">
      <c r="A34" t="s">
        <v>35</v>
      </c>
      <c r="B34">
        <v>11</v>
      </c>
      <c r="C34">
        <v>0.81</v>
      </c>
    </row>
    <row r="35" spans="1:6" x14ac:dyDescent="0.25">
      <c r="A35" t="s">
        <v>36</v>
      </c>
      <c r="B35">
        <v>8</v>
      </c>
      <c r="C35">
        <v>0.88</v>
      </c>
    </row>
    <row r="38" spans="1:6" x14ac:dyDescent="0.25">
      <c r="A38" t="s">
        <v>40</v>
      </c>
    </row>
    <row r="39" spans="1:6" x14ac:dyDescent="0.25">
      <c r="A39" s="1" t="s">
        <v>29</v>
      </c>
      <c r="B39" s="1" t="s">
        <v>41</v>
      </c>
      <c r="C39" s="1" t="s">
        <v>42</v>
      </c>
    </row>
    <row r="40" spans="1:6" x14ac:dyDescent="0.25">
      <c r="A40" t="s">
        <v>34</v>
      </c>
      <c r="B40">
        <v>0.70799999999999996</v>
      </c>
      <c r="C40">
        <v>0.84199999999999997</v>
      </c>
    </row>
    <row r="41" spans="1:6" x14ac:dyDescent="0.25">
      <c r="A41" t="s">
        <v>35</v>
      </c>
      <c r="B41">
        <v>0.36399999999999999</v>
      </c>
      <c r="C41">
        <v>0.60399999999999998</v>
      </c>
    </row>
    <row r="42" spans="1:6" x14ac:dyDescent="0.25">
      <c r="A42" t="s">
        <v>36</v>
      </c>
      <c r="B42">
        <v>0.54100000000000004</v>
      </c>
      <c r="C42">
        <v>0.73599999999999999</v>
      </c>
    </row>
    <row r="45" spans="1:6" x14ac:dyDescent="0.25">
      <c r="A45" t="s">
        <v>43</v>
      </c>
    </row>
    <row r="46" spans="1:6" x14ac:dyDescent="0.25">
      <c r="A46" s="1" t="s">
        <v>44</v>
      </c>
      <c r="B46" s="1" t="s">
        <v>45</v>
      </c>
      <c r="C46" s="1" t="s">
        <v>46</v>
      </c>
      <c r="D46" s="1" t="s">
        <v>47</v>
      </c>
      <c r="E46" s="1" t="s">
        <v>48</v>
      </c>
      <c r="F46" s="1" t="s">
        <v>49</v>
      </c>
    </row>
    <row r="47" spans="1:6" x14ac:dyDescent="0.25">
      <c r="A47" t="s">
        <v>50</v>
      </c>
      <c r="B47">
        <v>0.60399999999999998</v>
      </c>
      <c r="C47" t="s">
        <v>35</v>
      </c>
      <c r="D47">
        <v>0.53800000000000003</v>
      </c>
      <c r="E47">
        <v>6.6000000000000003E-2</v>
      </c>
      <c r="F47" t="b">
        <v>1</v>
      </c>
    </row>
    <row r="48" spans="1:6" x14ac:dyDescent="0.25">
      <c r="A48" t="s">
        <v>51</v>
      </c>
      <c r="B48">
        <v>0.73599999999999999</v>
      </c>
      <c r="C48" t="s">
        <v>36</v>
      </c>
      <c r="D48">
        <v>0.73099999999999998</v>
      </c>
      <c r="E48">
        <v>4.0000000000000001E-3</v>
      </c>
      <c r="F48" t="b">
        <v>1</v>
      </c>
    </row>
    <row r="49" spans="1:8" x14ac:dyDescent="0.25">
      <c r="A49" t="s">
        <v>52</v>
      </c>
      <c r="B49">
        <v>0.60399999999999998</v>
      </c>
      <c r="C49" t="s">
        <v>35</v>
      </c>
      <c r="D49">
        <v>0.432</v>
      </c>
      <c r="E49">
        <v>0.17199999999999999</v>
      </c>
      <c r="F49" t="b">
        <v>1</v>
      </c>
    </row>
    <row r="52" spans="1:8" x14ac:dyDescent="0.25">
      <c r="A52" t="s">
        <v>53</v>
      </c>
    </row>
    <row r="53" spans="1:8" x14ac:dyDescent="0.25">
      <c r="A53" s="1" t="s">
        <v>54</v>
      </c>
      <c r="B53" s="1" t="s">
        <v>55</v>
      </c>
      <c r="C53" s="1" t="s">
        <v>34</v>
      </c>
      <c r="D53" s="1" t="s">
        <v>35</v>
      </c>
      <c r="E53" s="1" t="s">
        <v>36</v>
      </c>
    </row>
    <row r="54" spans="1:8" x14ac:dyDescent="0.25">
      <c r="A54" t="s">
        <v>56</v>
      </c>
      <c r="B54">
        <v>90</v>
      </c>
      <c r="C54" t="s">
        <v>57</v>
      </c>
      <c r="D54" t="s">
        <v>58</v>
      </c>
      <c r="E54" t="s">
        <v>59</v>
      </c>
    </row>
    <row r="55" spans="1:8" x14ac:dyDescent="0.25">
      <c r="A55" t="s">
        <v>60</v>
      </c>
      <c r="B55">
        <v>90</v>
      </c>
      <c r="C55" t="s">
        <v>61</v>
      </c>
      <c r="D55" t="s">
        <v>62</v>
      </c>
      <c r="E55" t="s">
        <v>63</v>
      </c>
    </row>
    <row r="58" spans="1:8" x14ac:dyDescent="0.25">
      <c r="A58" t="s">
        <v>64</v>
      </c>
    </row>
    <row r="59" spans="1:8" x14ac:dyDescent="0.25">
      <c r="A59" s="1" t="s">
        <v>1</v>
      </c>
      <c r="B59" s="1" t="s">
        <v>34</v>
      </c>
      <c r="C59" s="1" t="s">
        <v>35</v>
      </c>
      <c r="D59" s="1" t="s">
        <v>36</v>
      </c>
      <c r="E59" s="1" t="s">
        <v>65</v>
      </c>
      <c r="F59" s="1" t="s">
        <v>11</v>
      </c>
      <c r="G59" s="1" t="s">
        <v>14</v>
      </c>
      <c r="H59" s="1" t="s">
        <v>66</v>
      </c>
    </row>
    <row r="60" spans="1:8" x14ac:dyDescent="0.25">
      <c r="A60" t="s">
        <v>34</v>
      </c>
      <c r="B60">
        <v>1</v>
      </c>
      <c r="C60">
        <v>0.53800000000000003</v>
      </c>
      <c r="D60">
        <v>0.73099999999999998</v>
      </c>
      <c r="E60">
        <v>-0.26600000000000001</v>
      </c>
      <c r="F60">
        <v>-0.19800000000000001</v>
      </c>
      <c r="G60">
        <v>4.3999999999999997E-2</v>
      </c>
      <c r="H60">
        <v>-5.3999999999999999E-2</v>
      </c>
    </row>
    <row r="61" spans="1:8" x14ac:dyDescent="0.25">
      <c r="A61" t="s">
        <v>35</v>
      </c>
      <c r="B61">
        <v>0.53800000000000003</v>
      </c>
      <c r="C61">
        <v>1</v>
      </c>
      <c r="D61">
        <v>0.432</v>
      </c>
      <c r="E61">
        <v>-0.28899999999999998</v>
      </c>
      <c r="F61">
        <v>-2.7E-2</v>
      </c>
      <c r="G61">
        <v>-2E-3</v>
      </c>
      <c r="H61">
        <v>-0.10199999999999999</v>
      </c>
    </row>
    <row r="62" spans="1:8" x14ac:dyDescent="0.25">
      <c r="A62" t="s">
        <v>36</v>
      </c>
      <c r="B62">
        <v>0.73099999999999998</v>
      </c>
      <c r="C62">
        <v>0.432</v>
      </c>
      <c r="D62">
        <v>1</v>
      </c>
      <c r="E62">
        <v>-0.17100000000000001</v>
      </c>
      <c r="F62">
        <v>7.3999999999999996E-2</v>
      </c>
      <c r="G62">
        <v>8.3000000000000004E-2</v>
      </c>
      <c r="H62">
        <v>-0.129</v>
      </c>
    </row>
    <row r="63" spans="1:8" x14ac:dyDescent="0.25">
      <c r="A63" t="s">
        <v>65</v>
      </c>
      <c r="B63">
        <v>-0.26600000000000001</v>
      </c>
      <c r="C63">
        <v>-0.28899999999999998</v>
      </c>
      <c r="D63">
        <v>-0.17100000000000001</v>
      </c>
      <c r="E63">
        <v>1</v>
      </c>
      <c r="F63">
        <v>0.13900000000000001</v>
      </c>
      <c r="G63">
        <v>-0.16600000000000001</v>
      </c>
      <c r="H63">
        <v>0.21099999999999999</v>
      </c>
    </row>
    <row r="64" spans="1:8" x14ac:dyDescent="0.25">
      <c r="A64" t="s">
        <v>11</v>
      </c>
      <c r="B64">
        <v>-0.19800000000000001</v>
      </c>
      <c r="C64">
        <v>-2.7E-2</v>
      </c>
      <c r="D64">
        <v>7.3999999999999996E-2</v>
      </c>
      <c r="E64">
        <v>0.13900000000000001</v>
      </c>
      <c r="F64">
        <v>1</v>
      </c>
      <c r="G64">
        <v>7.0999999999999994E-2</v>
      </c>
      <c r="H64">
        <v>-7.3999999999999996E-2</v>
      </c>
    </row>
    <row r="65" spans="1:8" x14ac:dyDescent="0.25">
      <c r="A65" t="s">
        <v>14</v>
      </c>
      <c r="B65">
        <v>4.3999999999999997E-2</v>
      </c>
      <c r="C65">
        <v>-2E-3</v>
      </c>
      <c r="D65">
        <v>8.3000000000000004E-2</v>
      </c>
      <c r="E65">
        <v>-0.16600000000000001</v>
      </c>
      <c r="F65">
        <v>7.0999999999999994E-2</v>
      </c>
      <c r="G65">
        <v>1</v>
      </c>
      <c r="H65">
        <v>0.36</v>
      </c>
    </row>
    <row r="66" spans="1:8" x14ac:dyDescent="0.25">
      <c r="A66" t="s">
        <v>66</v>
      </c>
      <c r="B66">
        <v>-5.3999999999999999E-2</v>
      </c>
      <c r="C66">
        <v>-0.10199999999999999</v>
      </c>
      <c r="D66">
        <v>-0.129</v>
      </c>
      <c r="E66">
        <v>0.21099999999999999</v>
      </c>
      <c r="F66">
        <v>-7.3999999999999996E-2</v>
      </c>
      <c r="G66">
        <v>0.36</v>
      </c>
      <c r="H66">
        <v>1</v>
      </c>
    </row>
    <row r="69" spans="1:8" x14ac:dyDescent="0.25">
      <c r="A69" t="s">
        <v>67</v>
      </c>
    </row>
    <row r="70" spans="1:8" x14ac:dyDescent="0.25">
      <c r="A70" s="1" t="s">
        <v>1</v>
      </c>
      <c r="B70" s="1" t="s">
        <v>34</v>
      </c>
      <c r="C70" s="1" t="s">
        <v>35</v>
      </c>
      <c r="D70" s="1" t="s">
        <v>36</v>
      </c>
      <c r="E70" s="1" t="s">
        <v>65</v>
      </c>
      <c r="F70" s="1" t="s">
        <v>11</v>
      </c>
      <c r="G70" s="1" t="s">
        <v>14</v>
      </c>
      <c r="H70" s="1" t="s">
        <v>66</v>
      </c>
    </row>
    <row r="71" spans="1:8" x14ac:dyDescent="0.25">
      <c r="A71" t="s">
        <v>34</v>
      </c>
      <c r="B71">
        <v>1</v>
      </c>
      <c r="C71">
        <v>0.60899999999999999</v>
      </c>
      <c r="D71">
        <v>0.73199999999999998</v>
      </c>
      <c r="E71">
        <v>-0.23899999999999999</v>
      </c>
      <c r="F71">
        <v>-0.19700000000000001</v>
      </c>
      <c r="G71">
        <v>8.5000000000000006E-2</v>
      </c>
      <c r="H71">
        <v>-7.8E-2</v>
      </c>
    </row>
    <row r="72" spans="1:8" x14ac:dyDescent="0.25">
      <c r="A72" t="s">
        <v>35</v>
      </c>
      <c r="B72">
        <v>0.60899999999999999</v>
      </c>
      <c r="C72">
        <v>1</v>
      </c>
      <c r="D72">
        <v>0.48199999999999998</v>
      </c>
      <c r="E72">
        <v>-0.25800000000000001</v>
      </c>
      <c r="F72">
        <v>-1.4999999999999999E-2</v>
      </c>
      <c r="G72">
        <v>-8.2000000000000003E-2</v>
      </c>
      <c r="H72">
        <v>-9.0999999999999998E-2</v>
      </c>
    </row>
    <row r="73" spans="1:8" x14ac:dyDescent="0.25">
      <c r="A73" t="s">
        <v>36</v>
      </c>
      <c r="B73">
        <v>0.73199999999999998</v>
      </c>
      <c r="C73">
        <v>0.48199999999999998</v>
      </c>
      <c r="D73">
        <v>1</v>
      </c>
      <c r="E73">
        <v>-0.184</v>
      </c>
      <c r="F73">
        <v>7.4999999999999997E-2</v>
      </c>
      <c r="G73">
        <v>4.8000000000000001E-2</v>
      </c>
      <c r="H73">
        <v>-0.13800000000000001</v>
      </c>
    </row>
    <row r="74" spans="1:8" x14ac:dyDescent="0.25">
      <c r="A74" t="s">
        <v>65</v>
      </c>
      <c r="B74">
        <v>-0.23899999999999999</v>
      </c>
      <c r="C74">
        <v>-0.25800000000000001</v>
      </c>
      <c r="D74">
        <v>-0.184</v>
      </c>
      <c r="E74">
        <v>1</v>
      </c>
      <c r="F74">
        <v>0.151</v>
      </c>
      <c r="G74">
        <v>-5.8999999999999997E-2</v>
      </c>
      <c r="H74">
        <v>0.27400000000000002</v>
      </c>
    </row>
    <row r="75" spans="1:8" x14ac:dyDescent="0.25">
      <c r="A75" t="s">
        <v>11</v>
      </c>
      <c r="B75">
        <v>-0.19700000000000001</v>
      </c>
      <c r="C75">
        <v>-1.4999999999999999E-2</v>
      </c>
      <c r="D75">
        <v>7.4999999999999997E-2</v>
      </c>
      <c r="E75">
        <v>0.151</v>
      </c>
      <c r="F75">
        <v>1</v>
      </c>
      <c r="G75">
        <v>-2.9000000000000001E-2</v>
      </c>
      <c r="H75">
        <v>-7.8E-2</v>
      </c>
    </row>
    <row r="76" spans="1:8" x14ac:dyDescent="0.25">
      <c r="A76" t="s">
        <v>14</v>
      </c>
      <c r="B76">
        <v>8.5000000000000006E-2</v>
      </c>
      <c r="C76">
        <v>-8.2000000000000003E-2</v>
      </c>
      <c r="D76">
        <v>4.8000000000000001E-2</v>
      </c>
      <c r="E76">
        <v>-5.8999999999999997E-2</v>
      </c>
      <c r="F76">
        <v>-2.9000000000000001E-2</v>
      </c>
      <c r="G76">
        <v>1</v>
      </c>
      <c r="H76">
        <v>0.37</v>
      </c>
    </row>
    <row r="77" spans="1:8" x14ac:dyDescent="0.25">
      <c r="A77" t="s">
        <v>66</v>
      </c>
      <c r="B77">
        <v>-7.8E-2</v>
      </c>
      <c r="C77">
        <v>-9.0999999999999998E-2</v>
      </c>
      <c r="D77">
        <v>-0.13800000000000001</v>
      </c>
      <c r="E77">
        <v>0.27400000000000002</v>
      </c>
      <c r="F77">
        <v>-7.8E-2</v>
      </c>
      <c r="G77">
        <v>0.37</v>
      </c>
      <c r="H77">
        <v>1</v>
      </c>
    </row>
    <row r="80" spans="1:8" x14ac:dyDescent="0.25">
      <c r="A80" t="s">
        <v>68</v>
      </c>
    </row>
    <row r="81" spans="1:5" x14ac:dyDescent="0.25">
      <c r="A81" s="1" t="s">
        <v>1</v>
      </c>
      <c r="B81" s="1" t="s">
        <v>69</v>
      </c>
      <c r="C81" s="1" t="s">
        <v>70</v>
      </c>
      <c r="D81" s="1" t="s">
        <v>71</v>
      </c>
      <c r="E81" s="1" t="s">
        <v>72</v>
      </c>
    </row>
    <row r="82" spans="1:5" x14ac:dyDescent="0.25">
      <c r="A82" t="s">
        <v>73</v>
      </c>
      <c r="B82">
        <v>1.0049999999999999</v>
      </c>
      <c r="C82">
        <v>0.152</v>
      </c>
      <c r="D82">
        <v>6.5949999999999998</v>
      </c>
      <c r="E82" t="s">
        <v>74</v>
      </c>
    </row>
    <row r="83" spans="1:5" x14ac:dyDescent="0.25">
      <c r="A83" t="s">
        <v>34</v>
      </c>
      <c r="B83">
        <v>0.622</v>
      </c>
      <c r="C83">
        <v>6.2E-2</v>
      </c>
      <c r="D83">
        <v>10.054</v>
      </c>
      <c r="E83" t="s">
        <v>74</v>
      </c>
    </row>
    <row r="86" spans="1:5" x14ac:dyDescent="0.25">
      <c r="A86" t="s">
        <v>75</v>
      </c>
    </row>
    <row r="87" spans="1:5" x14ac:dyDescent="0.25">
      <c r="A87" s="1" t="s">
        <v>76</v>
      </c>
      <c r="B87" s="1" t="s">
        <v>77</v>
      </c>
    </row>
    <row r="88" spans="1:5" x14ac:dyDescent="0.25">
      <c r="A88" t="s">
        <v>78</v>
      </c>
      <c r="B88">
        <v>0.53500000000000003</v>
      </c>
    </row>
    <row r="89" spans="1:5" x14ac:dyDescent="0.25">
      <c r="A89" t="s">
        <v>79</v>
      </c>
      <c r="B89">
        <v>0.52929999999999999</v>
      </c>
    </row>
    <row r="90" spans="1:5" x14ac:dyDescent="0.25">
      <c r="A90" t="s">
        <v>80</v>
      </c>
      <c r="B90">
        <v>101.08199999999999</v>
      </c>
    </row>
    <row r="91" spans="1:5" x14ac:dyDescent="0.25">
      <c r="A91" t="s">
        <v>81</v>
      </c>
      <c r="B91" t="s">
        <v>74</v>
      </c>
    </row>
    <row r="92" spans="1:5" x14ac:dyDescent="0.25">
      <c r="A92" t="s">
        <v>4</v>
      </c>
      <c r="B92">
        <v>90</v>
      </c>
    </row>
    <row r="95" spans="1:5" x14ac:dyDescent="0.25">
      <c r="A95" t="s">
        <v>82</v>
      </c>
    </row>
    <row r="96" spans="1:5" x14ac:dyDescent="0.25">
      <c r="A96" s="1" t="s">
        <v>1</v>
      </c>
      <c r="B96" s="1" t="s">
        <v>69</v>
      </c>
      <c r="C96" s="1" t="s">
        <v>70</v>
      </c>
      <c r="D96" s="1" t="s">
        <v>71</v>
      </c>
      <c r="E96" s="1" t="s">
        <v>72</v>
      </c>
    </row>
    <row r="97" spans="1:7" x14ac:dyDescent="0.25">
      <c r="A97" t="s">
        <v>73</v>
      </c>
      <c r="B97">
        <v>1.2589999999999999</v>
      </c>
      <c r="C97">
        <v>0.26700000000000002</v>
      </c>
      <c r="D97">
        <v>4.7229999999999999</v>
      </c>
      <c r="E97" t="s">
        <v>74</v>
      </c>
    </row>
    <row r="98" spans="1:7" x14ac:dyDescent="0.25">
      <c r="A98" t="s">
        <v>35</v>
      </c>
      <c r="B98">
        <v>0.54800000000000004</v>
      </c>
      <c r="C98">
        <v>0.122</v>
      </c>
      <c r="D98">
        <v>4.49</v>
      </c>
      <c r="E98" t="s">
        <v>74</v>
      </c>
    </row>
    <row r="101" spans="1:7" x14ac:dyDescent="0.25">
      <c r="A101" t="s">
        <v>83</v>
      </c>
    </row>
    <row r="102" spans="1:7" x14ac:dyDescent="0.25">
      <c r="A102" s="1" t="s">
        <v>76</v>
      </c>
      <c r="B102" s="1" t="s">
        <v>77</v>
      </c>
    </row>
    <row r="103" spans="1:7" x14ac:dyDescent="0.25">
      <c r="A103" t="s">
        <v>78</v>
      </c>
      <c r="B103">
        <v>0.186</v>
      </c>
    </row>
    <row r="104" spans="1:7" x14ac:dyDescent="0.25">
      <c r="A104" t="s">
        <v>79</v>
      </c>
      <c r="B104">
        <v>0.17710000000000001</v>
      </c>
    </row>
    <row r="105" spans="1:7" x14ac:dyDescent="0.25">
      <c r="A105" t="s">
        <v>80</v>
      </c>
      <c r="B105">
        <v>20.158000000000001</v>
      </c>
    </row>
    <row r="106" spans="1:7" x14ac:dyDescent="0.25">
      <c r="A106" t="s">
        <v>81</v>
      </c>
      <c r="B106" t="s">
        <v>74</v>
      </c>
    </row>
    <row r="107" spans="1:7" x14ac:dyDescent="0.25">
      <c r="A107" t="s">
        <v>4</v>
      </c>
      <c r="B107">
        <v>90</v>
      </c>
    </row>
    <row r="110" spans="1:7" x14ac:dyDescent="0.25">
      <c r="A110" t="s">
        <v>84</v>
      </c>
    </row>
    <row r="111" spans="1:7" x14ac:dyDescent="0.25">
      <c r="A111" s="1" t="s">
        <v>85</v>
      </c>
      <c r="B111" s="1" t="s">
        <v>69</v>
      </c>
      <c r="C111" s="1" t="s">
        <v>70</v>
      </c>
      <c r="D111" s="1" t="s">
        <v>71</v>
      </c>
      <c r="E111" s="1" t="s">
        <v>72</v>
      </c>
      <c r="F111" s="1" t="s">
        <v>78</v>
      </c>
      <c r="G111" s="1" t="s">
        <v>55</v>
      </c>
    </row>
    <row r="112" spans="1:7" x14ac:dyDescent="0.25">
      <c r="A112" t="s">
        <v>65</v>
      </c>
      <c r="B112">
        <v>-0.15</v>
      </c>
      <c r="C112">
        <v>9.1999999999999998E-2</v>
      </c>
      <c r="D112">
        <v>-1.629</v>
      </c>
      <c r="E112" t="s">
        <v>86</v>
      </c>
      <c r="F112">
        <v>2.9000000000000001E-2</v>
      </c>
      <c r="G112">
        <v>90</v>
      </c>
    </row>
    <row r="113" spans="1:7" x14ac:dyDescent="0.25">
      <c r="A113" t="s">
        <v>11</v>
      </c>
      <c r="B113">
        <v>0.13400000000000001</v>
      </c>
      <c r="C113">
        <v>0.193</v>
      </c>
      <c r="D113">
        <v>0.69399999999999995</v>
      </c>
      <c r="E113" t="s">
        <v>87</v>
      </c>
      <c r="F113">
        <v>5.0000000000000001E-3</v>
      </c>
      <c r="G113">
        <v>90</v>
      </c>
    </row>
    <row r="114" spans="1:7" x14ac:dyDescent="0.25">
      <c r="A114" t="s">
        <v>14</v>
      </c>
      <c r="B114">
        <v>6.2E-2</v>
      </c>
      <c r="C114">
        <v>0.08</v>
      </c>
      <c r="D114">
        <v>0.78</v>
      </c>
      <c r="E114" t="s">
        <v>88</v>
      </c>
      <c r="F114">
        <v>7.0000000000000001E-3</v>
      </c>
      <c r="G114">
        <v>90</v>
      </c>
    </row>
    <row r="115" spans="1:7" x14ac:dyDescent="0.25">
      <c r="A115" t="s">
        <v>66</v>
      </c>
      <c r="B115">
        <v>-0.127</v>
      </c>
      <c r="C115">
        <v>0.108</v>
      </c>
      <c r="D115">
        <v>-1.181</v>
      </c>
      <c r="E115" t="s">
        <v>89</v>
      </c>
      <c r="F115">
        <v>1.7000000000000001E-2</v>
      </c>
      <c r="G115">
        <v>85</v>
      </c>
    </row>
    <row r="118" spans="1:7" x14ac:dyDescent="0.25">
      <c r="A118" t="s">
        <v>90</v>
      </c>
    </row>
    <row r="119" spans="1:7" x14ac:dyDescent="0.25">
      <c r="A119" s="1" t="s">
        <v>1</v>
      </c>
      <c r="B119" s="1" t="s">
        <v>69</v>
      </c>
      <c r="C119" s="1" t="s">
        <v>70</v>
      </c>
      <c r="D119" s="1" t="s">
        <v>71</v>
      </c>
      <c r="E119" s="1" t="s">
        <v>72</v>
      </c>
    </row>
    <row r="120" spans="1:7" x14ac:dyDescent="0.25">
      <c r="A120" t="s">
        <v>73</v>
      </c>
      <c r="B120">
        <v>0.71899999999999997</v>
      </c>
      <c r="C120">
        <v>0.20699999999999999</v>
      </c>
      <c r="D120">
        <v>3.4790000000000001</v>
      </c>
      <c r="E120" t="s">
        <v>74</v>
      </c>
    </row>
    <row r="121" spans="1:7" x14ac:dyDescent="0.25">
      <c r="A121" t="s">
        <v>34</v>
      </c>
      <c r="B121">
        <v>0.64700000000000002</v>
      </c>
      <c r="C121">
        <v>7.1999999999999995E-2</v>
      </c>
      <c r="D121">
        <v>8.9990000000000006</v>
      </c>
      <c r="E121" t="s">
        <v>74</v>
      </c>
    </row>
    <row r="122" spans="1:7" x14ac:dyDescent="0.25">
      <c r="A122" t="s">
        <v>35</v>
      </c>
      <c r="B122">
        <v>3.6999999999999998E-2</v>
      </c>
      <c r="C122">
        <v>0.105</v>
      </c>
      <c r="D122">
        <v>0.35499999999999998</v>
      </c>
      <c r="E122" t="s">
        <v>91</v>
      </c>
    </row>
    <row r="123" spans="1:7" x14ac:dyDescent="0.25">
      <c r="A123" t="s">
        <v>11</v>
      </c>
      <c r="B123">
        <v>0.40899999999999997</v>
      </c>
      <c r="C123">
        <v>0.13</v>
      </c>
      <c r="D123">
        <v>3.1549999999999998</v>
      </c>
      <c r="E123" t="s">
        <v>92</v>
      </c>
    </row>
    <row r="126" spans="1:7" x14ac:dyDescent="0.25">
      <c r="A126" t="s">
        <v>93</v>
      </c>
    </row>
    <row r="127" spans="1:7" x14ac:dyDescent="0.25">
      <c r="A127" s="1" t="s">
        <v>76</v>
      </c>
      <c r="B127" s="1" t="s">
        <v>77</v>
      </c>
    </row>
    <row r="128" spans="1:7" x14ac:dyDescent="0.25">
      <c r="A128" t="s">
        <v>78</v>
      </c>
      <c r="B128">
        <v>0.58499999999999996</v>
      </c>
    </row>
    <row r="129" spans="1:5" x14ac:dyDescent="0.25">
      <c r="A129" t="s">
        <v>79</v>
      </c>
      <c r="B129">
        <v>0.57030000000000003</v>
      </c>
    </row>
    <row r="130" spans="1:5" x14ac:dyDescent="0.25">
      <c r="A130" t="s">
        <v>80</v>
      </c>
      <c r="B130">
        <v>40.368000000000002</v>
      </c>
    </row>
    <row r="131" spans="1:5" x14ac:dyDescent="0.25">
      <c r="A131" t="s">
        <v>81</v>
      </c>
      <c r="B131" t="s">
        <v>74</v>
      </c>
    </row>
    <row r="132" spans="1:5" x14ac:dyDescent="0.25">
      <c r="A132" t="s">
        <v>4</v>
      </c>
      <c r="B132">
        <v>90</v>
      </c>
    </row>
    <row r="135" spans="1:5" x14ac:dyDescent="0.25">
      <c r="A135" t="s">
        <v>94</v>
      </c>
    </row>
    <row r="136" spans="1:5" x14ac:dyDescent="0.25">
      <c r="A136" s="1" t="s">
        <v>1</v>
      </c>
      <c r="B136" s="1" t="s">
        <v>95</v>
      </c>
    </row>
    <row r="137" spans="1:5" x14ac:dyDescent="0.25">
      <c r="A137" t="s">
        <v>34</v>
      </c>
      <c r="B137">
        <v>1.48</v>
      </c>
    </row>
    <row r="138" spans="1:5" x14ac:dyDescent="0.25">
      <c r="A138" t="s">
        <v>35</v>
      </c>
      <c r="B138">
        <v>1.42</v>
      </c>
    </row>
    <row r="139" spans="1:5" x14ac:dyDescent="0.25">
      <c r="A139" t="s">
        <v>11</v>
      </c>
      <c r="B139">
        <v>1.05</v>
      </c>
    </row>
    <row r="142" spans="1:5" x14ac:dyDescent="0.25">
      <c r="A142" t="s">
        <v>96</v>
      </c>
    </row>
    <row r="143" spans="1:5" x14ac:dyDescent="0.25">
      <c r="A143" s="1" t="s">
        <v>1</v>
      </c>
      <c r="B143" s="1" t="s">
        <v>69</v>
      </c>
      <c r="C143" s="1" t="s">
        <v>70</v>
      </c>
      <c r="D143" s="1" t="s">
        <v>71</v>
      </c>
      <c r="E143" s="1" t="s">
        <v>72</v>
      </c>
    </row>
    <row r="144" spans="1:5" x14ac:dyDescent="0.25">
      <c r="A144" t="s">
        <v>73</v>
      </c>
      <c r="B144">
        <v>0.61599999999999999</v>
      </c>
      <c r="C144">
        <v>0.58199999999999996</v>
      </c>
      <c r="D144">
        <v>1.0580000000000001</v>
      </c>
      <c r="E144" t="s">
        <v>97</v>
      </c>
    </row>
    <row r="145" spans="1:5" x14ac:dyDescent="0.25">
      <c r="A145" t="s">
        <v>34</v>
      </c>
      <c r="B145">
        <v>0.66500000000000004</v>
      </c>
      <c r="C145">
        <v>7.5999999999999998E-2</v>
      </c>
      <c r="D145">
        <v>8.7579999999999991</v>
      </c>
      <c r="E145" t="s">
        <v>74</v>
      </c>
    </row>
    <row r="146" spans="1:5" x14ac:dyDescent="0.25">
      <c r="A146" t="s">
        <v>35</v>
      </c>
      <c r="B146">
        <v>5.0000000000000001E-3</v>
      </c>
      <c r="C146">
        <v>0.115</v>
      </c>
      <c r="D146">
        <v>4.3999999999999997E-2</v>
      </c>
      <c r="E146" t="s">
        <v>98</v>
      </c>
    </row>
    <row r="147" spans="1:5" x14ac:dyDescent="0.25">
      <c r="A147" t="s">
        <v>65</v>
      </c>
      <c r="B147">
        <v>4.5999999999999999E-2</v>
      </c>
      <c r="C147">
        <v>7.1999999999999995E-2</v>
      </c>
      <c r="D147">
        <v>0.63900000000000001</v>
      </c>
      <c r="E147" t="s">
        <v>99</v>
      </c>
    </row>
    <row r="148" spans="1:5" x14ac:dyDescent="0.25">
      <c r="A148" t="s">
        <v>11</v>
      </c>
      <c r="B148">
        <v>0.36599999999999999</v>
      </c>
      <c r="C148">
        <v>0.13900000000000001</v>
      </c>
      <c r="D148">
        <v>2.6269999999999998</v>
      </c>
      <c r="E148" t="s">
        <v>100</v>
      </c>
    </row>
    <row r="149" spans="1:5" x14ac:dyDescent="0.25">
      <c r="A149" t="s">
        <v>14</v>
      </c>
      <c r="B149">
        <v>4.3999999999999997E-2</v>
      </c>
      <c r="C149">
        <v>7.0000000000000007E-2</v>
      </c>
      <c r="D149">
        <v>0.622</v>
      </c>
      <c r="E149" t="s">
        <v>101</v>
      </c>
    </row>
    <row r="150" spans="1:5" x14ac:dyDescent="0.25">
      <c r="A150" t="s">
        <v>66</v>
      </c>
      <c r="B150">
        <v>-0.1</v>
      </c>
      <c r="C150">
        <v>8.2000000000000003E-2</v>
      </c>
      <c r="D150">
        <v>-1.2230000000000001</v>
      </c>
      <c r="E150" t="s">
        <v>102</v>
      </c>
    </row>
    <row r="153" spans="1:5" x14ac:dyDescent="0.25">
      <c r="A153" t="s">
        <v>103</v>
      </c>
    </row>
    <row r="154" spans="1:5" x14ac:dyDescent="0.25">
      <c r="A154" s="1" t="s">
        <v>76</v>
      </c>
      <c r="B154" s="1" t="s">
        <v>77</v>
      </c>
    </row>
    <row r="155" spans="1:5" x14ac:dyDescent="0.25">
      <c r="A155" t="s">
        <v>78</v>
      </c>
      <c r="B155">
        <v>0.58899999999999997</v>
      </c>
    </row>
    <row r="156" spans="1:5" x14ac:dyDescent="0.25">
      <c r="A156" t="s">
        <v>79</v>
      </c>
      <c r="B156">
        <v>0.55740000000000001</v>
      </c>
    </row>
    <row r="157" spans="1:5" x14ac:dyDescent="0.25">
      <c r="A157" t="s">
        <v>80</v>
      </c>
      <c r="B157">
        <v>18.632000000000001</v>
      </c>
    </row>
    <row r="158" spans="1:5" x14ac:dyDescent="0.25">
      <c r="A158" t="s">
        <v>81</v>
      </c>
      <c r="B158" t="s">
        <v>74</v>
      </c>
    </row>
    <row r="159" spans="1:5" x14ac:dyDescent="0.25">
      <c r="A159" t="s">
        <v>4</v>
      </c>
      <c r="B159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FD3-654E-46E0-9967-A8F0D82F39C4}">
  <sheetPr>
    <outlinePr summaryBelow="0" summaryRight="0"/>
  </sheetPr>
  <dimension ref="A1:I91"/>
  <sheetViews>
    <sheetView tabSelected="1" workbookViewId="0">
      <selection activeCell="C13" sqref="C13"/>
    </sheetView>
  </sheetViews>
  <sheetFormatPr defaultColWidth="12.5703125" defaultRowHeight="15.75" customHeight="1" x14ac:dyDescent="0.2"/>
  <cols>
    <col min="1" max="1" width="16.85546875" style="6" customWidth="1"/>
    <col min="2" max="2" width="32.42578125" style="6" customWidth="1"/>
    <col min="3" max="3" width="19.42578125" style="6" customWidth="1"/>
    <col min="4" max="16384" width="12.5703125" style="3"/>
  </cols>
  <sheetData>
    <row r="1" spans="1:3" x14ac:dyDescent="0.2">
      <c r="A1" s="5" t="s">
        <v>104</v>
      </c>
      <c r="B1" s="5" t="s">
        <v>105</v>
      </c>
      <c r="C1" s="5" t="s">
        <v>106</v>
      </c>
    </row>
    <row r="2" spans="1:3" x14ac:dyDescent="0.2">
      <c r="A2" s="5">
        <v>2</v>
      </c>
      <c r="B2" s="5">
        <v>4</v>
      </c>
      <c r="C2" s="5">
        <v>2.875</v>
      </c>
    </row>
    <row r="3" spans="1:3" x14ac:dyDescent="0.2">
      <c r="A3" s="5">
        <v>2</v>
      </c>
      <c r="B3" s="5">
        <v>2.8</v>
      </c>
      <c r="C3" s="5">
        <v>4</v>
      </c>
    </row>
    <row r="4" spans="1:3" x14ac:dyDescent="0.2">
      <c r="A4" s="5">
        <v>1.8181818181818181</v>
      </c>
      <c r="B4" s="5">
        <v>2.8</v>
      </c>
      <c r="C4" s="5">
        <v>2.125</v>
      </c>
    </row>
    <row r="5" spans="1:3" x14ac:dyDescent="0.2">
      <c r="A5" s="5">
        <v>1.1818181818181819</v>
      </c>
      <c r="B5" s="5">
        <v>1</v>
      </c>
      <c r="C5" s="5">
        <v>2.625</v>
      </c>
    </row>
    <row r="6" spans="1:3" x14ac:dyDescent="0.2">
      <c r="A6" s="5">
        <v>2.6363636363636362</v>
      </c>
      <c r="B6" s="5">
        <v>1.2</v>
      </c>
      <c r="C6" s="5">
        <v>2.875</v>
      </c>
    </row>
    <row r="7" spans="1:3" x14ac:dyDescent="0.2">
      <c r="A7" s="5">
        <v>1.8181818181818181</v>
      </c>
      <c r="B7" s="5">
        <v>1.2</v>
      </c>
      <c r="C7" s="5">
        <v>2.125</v>
      </c>
    </row>
    <row r="8" spans="1:3" x14ac:dyDescent="0.2">
      <c r="A8" s="5">
        <v>1.4545454545454546</v>
      </c>
      <c r="B8" s="5">
        <v>1.2</v>
      </c>
      <c r="C8" s="5">
        <v>2.375</v>
      </c>
    </row>
    <row r="9" spans="1:3" x14ac:dyDescent="0.2">
      <c r="A9" s="5">
        <v>1.9090909090909092</v>
      </c>
      <c r="B9" s="5">
        <v>3</v>
      </c>
      <c r="C9" s="5">
        <v>3.375</v>
      </c>
    </row>
    <row r="10" spans="1:3" x14ac:dyDescent="0.2">
      <c r="A10" s="5">
        <v>2.1818181818181817</v>
      </c>
      <c r="B10" s="5">
        <v>1.4</v>
      </c>
      <c r="C10" s="5">
        <v>2.625</v>
      </c>
    </row>
    <row r="11" spans="1:3" x14ac:dyDescent="0.2">
      <c r="A11" s="5">
        <v>2.0909090909090908</v>
      </c>
      <c r="B11" s="5">
        <v>1</v>
      </c>
      <c r="C11" s="5">
        <v>1.375</v>
      </c>
    </row>
    <row r="12" spans="1:3" x14ac:dyDescent="0.2">
      <c r="A12" s="5">
        <v>2.0909090909090908</v>
      </c>
      <c r="B12" s="5">
        <v>4</v>
      </c>
      <c r="C12" s="5">
        <v>3.875</v>
      </c>
    </row>
    <row r="13" spans="1:3" x14ac:dyDescent="0.2">
      <c r="A13" s="5">
        <v>2.6363636363636362</v>
      </c>
      <c r="B13" s="5">
        <v>2.6</v>
      </c>
      <c r="C13" s="5">
        <v>2.875</v>
      </c>
    </row>
    <row r="14" spans="1:3" x14ac:dyDescent="0.2">
      <c r="A14" s="5">
        <v>1.2727272727272727</v>
      </c>
      <c r="B14" s="5">
        <v>1.2</v>
      </c>
      <c r="C14" s="5">
        <v>1.75</v>
      </c>
    </row>
    <row r="15" spans="1:3" x14ac:dyDescent="0.2">
      <c r="A15" s="5">
        <v>2.3636363636363638</v>
      </c>
      <c r="B15" s="5">
        <v>2.8</v>
      </c>
      <c r="C15" s="5">
        <v>2.875</v>
      </c>
    </row>
    <row r="16" spans="1:3" x14ac:dyDescent="0.2">
      <c r="A16" s="5">
        <v>1.6363636363636365</v>
      </c>
      <c r="B16" s="5">
        <v>4.8</v>
      </c>
      <c r="C16" s="5">
        <v>4.25</v>
      </c>
    </row>
    <row r="17" spans="1:9" x14ac:dyDescent="0.2">
      <c r="A17" s="5">
        <v>1.1818181818181819</v>
      </c>
      <c r="B17" s="5">
        <v>1</v>
      </c>
      <c r="C17" s="5">
        <v>1.625</v>
      </c>
    </row>
    <row r="18" spans="1:9" x14ac:dyDescent="0.2">
      <c r="A18" s="5">
        <v>2.0909090909090908</v>
      </c>
      <c r="B18" s="5">
        <v>3.4</v>
      </c>
      <c r="C18" s="5">
        <v>3.875</v>
      </c>
    </row>
    <row r="19" spans="1:9" x14ac:dyDescent="0.2">
      <c r="A19" s="5">
        <v>3</v>
      </c>
      <c r="B19" s="5">
        <v>2.8</v>
      </c>
      <c r="C19" s="5">
        <v>2.375</v>
      </c>
      <c r="G19" s="4" t="s">
        <v>108</v>
      </c>
    </row>
    <row r="20" spans="1:9" x14ac:dyDescent="0.2">
      <c r="A20" s="5">
        <v>1.8181818181818181</v>
      </c>
      <c r="B20" s="5">
        <v>2.8</v>
      </c>
      <c r="C20" s="5">
        <v>3.25</v>
      </c>
      <c r="G20" s="2">
        <f>SLOPE(C2:C91,B2:B91)</f>
        <v>0.62219808262638876</v>
      </c>
      <c r="I20" s="2" t="s">
        <v>107</v>
      </c>
    </row>
    <row r="21" spans="1:9" x14ac:dyDescent="0.2">
      <c r="A21" s="5">
        <v>2.4545454545454546</v>
      </c>
      <c r="B21" s="5">
        <v>3.8</v>
      </c>
      <c r="C21" s="5">
        <v>2.375</v>
      </c>
      <c r="G21" s="2">
        <f>INTERCEPT(C2:C91,B2:B91)</f>
        <v>1.0048687265788425</v>
      </c>
    </row>
    <row r="22" spans="1:9" x14ac:dyDescent="0.2">
      <c r="A22" s="5">
        <v>1.5454545454545454</v>
      </c>
      <c r="B22" s="5">
        <v>1.6</v>
      </c>
      <c r="C22" s="5">
        <v>2.125</v>
      </c>
    </row>
    <row r="23" spans="1:9" x14ac:dyDescent="0.2">
      <c r="A23" s="5">
        <v>1.7272727272727273</v>
      </c>
      <c r="B23" s="5">
        <v>1.6</v>
      </c>
      <c r="C23" s="5">
        <v>2.125</v>
      </c>
      <c r="G23" s="2">
        <f>RSQ(C2:C91, B2:B91)</f>
        <v>0.53459306666708784</v>
      </c>
    </row>
    <row r="24" spans="1:9" x14ac:dyDescent="0.2">
      <c r="A24" s="5">
        <v>1</v>
      </c>
      <c r="B24" s="5">
        <v>1</v>
      </c>
      <c r="C24" s="5">
        <v>1</v>
      </c>
    </row>
    <row r="25" spans="1:9" x14ac:dyDescent="0.2">
      <c r="A25" s="5">
        <v>1.7272727272727273</v>
      </c>
      <c r="B25" s="5">
        <v>1.2</v>
      </c>
      <c r="C25" s="5">
        <v>1.5</v>
      </c>
    </row>
    <row r="26" spans="1:9" x14ac:dyDescent="0.2">
      <c r="A26" s="5">
        <v>1.0909090909090908</v>
      </c>
      <c r="B26" s="5">
        <v>1.4</v>
      </c>
      <c r="C26" s="5">
        <v>1.75</v>
      </c>
    </row>
    <row r="27" spans="1:9" x14ac:dyDescent="0.2">
      <c r="A27" s="5">
        <v>2.2727272727272729</v>
      </c>
      <c r="B27" s="5">
        <v>3.6</v>
      </c>
      <c r="C27" s="5">
        <v>4</v>
      </c>
    </row>
    <row r="28" spans="1:9" x14ac:dyDescent="0.2">
      <c r="A28" s="5">
        <v>2.7272727272727271</v>
      </c>
      <c r="B28" s="5">
        <v>2.4</v>
      </c>
      <c r="C28" s="5">
        <v>2.875</v>
      </c>
    </row>
    <row r="29" spans="1:9" x14ac:dyDescent="0.2">
      <c r="A29" s="5">
        <v>3</v>
      </c>
      <c r="B29" s="5">
        <v>3.8</v>
      </c>
      <c r="C29" s="5">
        <v>3.375</v>
      </c>
    </row>
    <row r="30" spans="1:9" x14ac:dyDescent="0.2">
      <c r="A30" s="5">
        <v>2</v>
      </c>
      <c r="B30" s="5">
        <v>3.8</v>
      </c>
      <c r="C30" s="5">
        <v>3</v>
      </c>
    </row>
    <row r="31" spans="1:9" x14ac:dyDescent="0.2">
      <c r="A31" s="5">
        <v>1.4545454545454546</v>
      </c>
      <c r="B31" s="5">
        <v>1.8</v>
      </c>
      <c r="C31" s="5">
        <v>1.625</v>
      </c>
    </row>
    <row r="32" spans="1:9" x14ac:dyDescent="0.2">
      <c r="A32" s="5">
        <v>2.5454545454545454</v>
      </c>
      <c r="B32" s="5">
        <v>2.6</v>
      </c>
      <c r="C32" s="5">
        <v>2.375</v>
      </c>
    </row>
    <row r="33" spans="1:3" x14ac:dyDescent="0.2">
      <c r="A33" s="5">
        <v>1</v>
      </c>
      <c r="B33" s="5">
        <v>1</v>
      </c>
      <c r="C33" s="5">
        <v>1</v>
      </c>
    </row>
    <row r="34" spans="1:3" x14ac:dyDescent="0.2">
      <c r="A34" s="5">
        <v>4</v>
      </c>
      <c r="B34" s="5">
        <v>1.8</v>
      </c>
      <c r="C34" s="5">
        <v>1.625</v>
      </c>
    </row>
    <row r="35" spans="1:3" x14ac:dyDescent="0.2">
      <c r="A35" s="5">
        <v>1.4545454545454546</v>
      </c>
      <c r="B35" s="5">
        <v>1.4</v>
      </c>
      <c r="C35" s="5">
        <v>1.875</v>
      </c>
    </row>
    <row r="36" spans="1:3" x14ac:dyDescent="0.2">
      <c r="A36" s="5">
        <v>1.5454545454545454</v>
      </c>
      <c r="B36" s="5">
        <v>1.2</v>
      </c>
      <c r="C36" s="5">
        <v>1.25</v>
      </c>
    </row>
    <row r="37" spans="1:3" x14ac:dyDescent="0.2">
      <c r="A37" s="5">
        <v>2.8181818181818183</v>
      </c>
      <c r="B37" s="5">
        <v>2.2000000000000002</v>
      </c>
      <c r="C37" s="5">
        <v>2</v>
      </c>
    </row>
    <row r="38" spans="1:3" x14ac:dyDescent="0.2">
      <c r="A38" s="5">
        <v>1.8181818181818181</v>
      </c>
      <c r="B38" s="5">
        <v>1</v>
      </c>
      <c r="C38" s="5">
        <v>1.5</v>
      </c>
    </row>
    <row r="39" spans="1:3" x14ac:dyDescent="0.2">
      <c r="A39" s="5">
        <v>2.6363636363636362</v>
      </c>
      <c r="B39" s="5">
        <v>3.4</v>
      </c>
      <c r="C39" s="5">
        <v>3</v>
      </c>
    </row>
    <row r="40" spans="1:3" x14ac:dyDescent="0.2">
      <c r="A40" s="5">
        <v>3.3636363636363638</v>
      </c>
      <c r="B40" s="5">
        <v>4</v>
      </c>
      <c r="C40" s="5">
        <v>3.625</v>
      </c>
    </row>
    <row r="41" spans="1:3" x14ac:dyDescent="0.2">
      <c r="A41" s="5">
        <v>3.1818181818181817</v>
      </c>
      <c r="B41" s="5">
        <v>2.6</v>
      </c>
      <c r="C41" s="5">
        <v>2.125</v>
      </c>
    </row>
    <row r="42" spans="1:3" x14ac:dyDescent="0.2">
      <c r="A42" s="5">
        <v>1.5454545454545454</v>
      </c>
      <c r="B42" s="5">
        <v>1.8</v>
      </c>
      <c r="C42" s="5">
        <v>3.375</v>
      </c>
    </row>
    <row r="43" spans="1:3" x14ac:dyDescent="0.2">
      <c r="A43" s="5">
        <v>1.4545454545454546</v>
      </c>
      <c r="B43" s="5">
        <v>1.2</v>
      </c>
      <c r="C43" s="5">
        <v>2.375</v>
      </c>
    </row>
    <row r="44" spans="1:3" x14ac:dyDescent="0.2">
      <c r="A44" s="5">
        <v>1.7272727272727273</v>
      </c>
      <c r="B44" s="5">
        <v>1.8</v>
      </c>
      <c r="C44" s="5">
        <v>2.375</v>
      </c>
    </row>
    <row r="45" spans="1:3" x14ac:dyDescent="0.2">
      <c r="A45" s="5">
        <v>2.4545454545454546</v>
      </c>
      <c r="B45" s="5">
        <v>3.2</v>
      </c>
      <c r="C45" s="5">
        <v>2.25</v>
      </c>
    </row>
    <row r="46" spans="1:3" x14ac:dyDescent="0.2">
      <c r="A46" s="5">
        <v>2.1818181818181817</v>
      </c>
      <c r="B46" s="5">
        <v>2.6</v>
      </c>
      <c r="C46" s="5">
        <v>2</v>
      </c>
    </row>
    <row r="47" spans="1:3" x14ac:dyDescent="0.2">
      <c r="A47" s="5">
        <v>2</v>
      </c>
      <c r="B47" s="5">
        <v>1.4</v>
      </c>
      <c r="C47" s="5">
        <v>2</v>
      </c>
    </row>
    <row r="48" spans="1:3" x14ac:dyDescent="0.2">
      <c r="A48" s="5">
        <v>3.3636363636363638</v>
      </c>
      <c r="B48" s="5">
        <v>2</v>
      </c>
      <c r="C48" s="5">
        <v>3</v>
      </c>
    </row>
    <row r="49" spans="1:3" x14ac:dyDescent="0.2">
      <c r="A49" s="5">
        <v>1.5454545454545454</v>
      </c>
      <c r="B49" s="5">
        <v>1</v>
      </c>
      <c r="C49" s="5">
        <v>1.125</v>
      </c>
    </row>
    <row r="50" spans="1:3" x14ac:dyDescent="0.2">
      <c r="A50" s="5">
        <v>1.2727272727272727</v>
      </c>
      <c r="B50" s="5">
        <v>1.2</v>
      </c>
      <c r="C50" s="5">
        <v>2</v>
      </c>
    </row>
    <row r="51" spans="1:3" x14ac:dyDescent="0.2">
      <c r="A51" s="5">
        <v>1.6363636363636365</v>
      </c>
      <c r="B51" s="5">
        <v>1.2</v>
      </c>
      <c r="C51" s="5">
        <v>1.875</v>
      </c>
    </row>
    <row r="52" spans="1:3" x14ac:dyDescent="0.2">
      <c r="A52" s="5">
        <v>2.6363636363636362</v>
      </c>
      <c r="B52" s="5">
        <v>4</v>
      </c>
      <c r="C52" s="5">
        <v>3.75</v>
      </c>
    </row>
    <row r="53" spans="1:3" x14ac:dyDescent="0.2">
      <c r="A53" s="5">
        <v>1</v>
      </c>
      <c r="B53" s="5">
        <v>1.4</v>
      </c>
      <c r="C53" s="5">
        <v>1.125</v>
      </c>
    </row>
    <row r="54" spans="1:3" x14ac:dyDescent="0.2">
      <c r="A54" s="5">
        <v>1.4545454545454546</v>
      </c>
      <c r="B54" s="5">
        <v>1.6</v>
      </c>
      <c r="C54" s="5">
        <v>2.875</v>
      </c>
    </row>
    <row r="55" spans="1:3" x14ac:dyDescent="0.2">
      <c r="A55" s="5">
        <v>3.7272727272727271</v>
      </c>
      <c r="B55" s="5">
        <v>3.4</v>
      </c>
      <c r="C55" s="5">
        <v>2.75</v>
      </c>
    </row>
    <row r="56" spans="1:3" x14ac:dyDescent="0.2">
      <c r="A56" s="5">
        <v>2.9090909090909092</v>
      </c>
      <c r="B56" s="5">
        <v>2</v>
      </c>
      <c r="C56" s="5">
        <v>3.375</v>
      </c>
    </row>
    <row r="57" spans="1:3" x14ac:dyDescent="0.2">
      <c r="A57" s="5">
        <v>2.7272727272727271</v>
      </c>
      <c r="B57" s="5">
        <v>1.4</v>
      </c>
      <c r="C57" s="5">
        <v>2.375</v>
      </c>
    </row>
    <row r="58" spans="1:3" x14ac:dyDescent="0.2">
      <c r="A58" s="5">
        <v>1.0909090909090908</v>
      </c>
      <c r="B58" s="5">
        <v>1</v>
      </c>
      <c r="C58" s="5">
        <v>1</v>
      </c>
    </row>
    <row r="59" spans="1:3" x14ac:dyDescent="0.2">
      <c r="A59" s="5">
        <v>1.5454545454545454</v>
      </c>
      <c r="B59" s="5">
        <v>1</v>
      </c>
      <c r="C59" s="5">
        <v>1.125</v>
      </c>
    </row>
    <row r="60" spans="1:3" x14ac:dyDescent="0.2">
      <c r="A60" s="5">
        <v>2.4545454545454546</v>
      </c>
      <c r="B60" s="5">
        <v>2.8</v>
      </c>
      <c r="C60" s="5">
        <v>3.25</v>
      </c>
    </row>
    <row r="61" spans="1:3" x14ac:dyDescent="0.2">
      <c r="A61" s="5">
        <v>1.5454545454545454</v>
      </c>
      <c r="B61" s="5">
        <v>2.4</v>
      </c>
      <c r="C61" s="5">
        <v>3.75</v>
      </c>
    </row>
    <row r="62" spans="1:3" x14ac:dyDescent="0.2">
      <c r="A62" s="5">
        <v>1.9090909090909092</v>
      </c>
      <c r="B62" s="5">
        <v>1</v>
      </c>
      <c r="C62" s="5">
        <v>1.25</v>
      </c>
    </row>
    <row r="63" spans="1:3" x14ac:dyDescent="0.2">
      <c r="A63" s="5">
        <v>3.0909090909090908</v>
      </c>
      <c r="B63" s="5">
        <v>4</v>
      </c>
      <c r="C63" s="5">
        <v>2.875</v>
      </c>
    </row>
    <row r="64" spans="1:3" x14ac:dyDescent="0.2">
      <c r="A64" s="5">
        <v>2.1818181818181817</v>
      </c>
      <c r="B64" s="5">
        <v>2.2000000000000002</v>
      </c>
      <c r="C64" s="5">
        <v>1.875</v>
      </c>
    </row>
    <row r="65" spans="1:3" x14ac:dyDescent="0.2">
      <c r="A65" s="5">
        <v>3</v>
      </c>
      <c r="B65" s="5">
        <v>3.2</v>
      </c>
      <c r="C65" s="5">
        <v>3.5</v>
      </c>
    </row>
    <row r="66" spans="1:3" x14ac:dyDescent="0.2">
      <c r="A66" s="5">
        <v>3.1818181818181817</v>
      </c>
      <c r="B66" s="5">
        <v>4</v>
      </c>
      <c r="C66" s="5">
        <v>3.125</v>
      </c>
    </row>
    <row r="67" spans="1:3" x14ac:dyDescent="0.2">
      <c r="A67" s="5">
        <v>3.1818181818181817</v>
      </c>
      <c r="B67" s="5">
        <v>3.6</v>
      </c>
      <c r="C67" s="5">
        <v>3.875</v>
      </c>
    </row>
    <row r="68" spans="1:3" x14ac:dyDescent="0.2">
      <c r="A68" s="5">
        <v>1.1818181818181819</v>
      </c>
      <c r="B68" s="5">
        <v>2.8</v>
      </c>
      <c r="C68" s="5">
        <v>2.75</v>
      </c>
    </row>
    <row r="69" spans="1:3" x14ac:dyDescent="0.2">
      <c r="A69" s="5">
        <v>3.3636363636363638</v>
      </c>
      <c r="B69" s="5">
        <v>2.4</v>
      </c>
      <c r="C69" s="5">
        <v>2.125</v>
      </c>
    </row>
    <row r="70" spans="1:3" x14ac:dyDescent="0.2">
      <c r="A70" s="5">
        <v>2.8181818181818183</v>
      </c>
      <c r="B70" s="5">
        <v>3.2</v>
      </c>
      <c r="C70" s="5">
        <v>3.5</v>
      </c>
    </row>
    <row r="71" spans="1:3" x14ac:dyDescent="0.2">
      <c r="A71" s="5">
        <v>2.0909090909090908</v>
      </c>
      <c r="B71" s="5">
        <v>2.6</v>
      </c>
      <c r="C71" s="5">
        <v>1.875</v>
      </c>
    </row>
    <row r="72" spans="1:3" x14ac:dyDescent="0.2">
      <c r="A72" s="5">
        <v>2.1818181818181817</v>
      </c>
      <c r="B72" s="5">
        <v>1.8</v>
      </c>
      <c r="C72" s="5">
        <v>1.375</v>
      </c>
    </row>
    <row r="73" spans="1:3" x14ac:dyDescent="0.2">
      <c r="A73" s="5">
        <v>1.0909090909090908</v>
      </c>
      <c r="B73" s="5">
        <v>1</v>
      </c>
      <c r="C73" s="5">
        <v>2</v>
      </c>
    </row>
    <row r="74" spans="1:3" x14ac:dyDescent="0.2">
      <c r="A74" s="5">
        <v>2.4545454545454546</v>
      </c>
      <c r="B74" s="5">
        <v>4.4000000000000004</v>
      </c>
      <c r="C74" s="5">
        <v>2.875</v>
      </c>
    </row>
    <row r="75" spans="1:3" x14ac:dyDescent="0.2">
      <c r="A75" s="5">
        <v>2</v>
      </c>
      <c r="B75" s="5">
        <v>1.6</v>
      </c>
      <c r="C75" s="5">
        <v>2</v>
      </c>
    </row>
    <row r="76" spans="1:3" x14ac:dyDescent="0.2">
      <c r="A76" s="5">
        <v>2.4545454545454546</v>
      </c>
      <c r="B76" s="5">
        <v>3.2</v>
      </c>
      <c r="C76" s="5">
        <v>3.625</v>
      </c>
    </row>
    <row r="77" spans="1:3" x14ac:dyDescent="0.2">
      <c r="A77" s="5">
        <v>1</v>
      </c>
      <c r="B77" s="5">
        <v>1</v>
      </c>
      <c r="C77" s="5">
        <v>1</v>
      </c>
    </row>
    <row r="78" spans="1:3" x14ac:dyDescent="0.2">
      <c r="A78" s="5">
        <v>2.1818181818181817</v>
      </c>
      <c r="B78" s="5">
        <v>1.8</v>
      </c>
      <c r="C78" s="5">
        <v>1.25</v>
      </c>
    </row>
    <row r="79" spans="1:3" x14ac:dyDescent="0.2">
      <c r="A79" s="5">
        <v>1.0909090909090908</v>
      </c>
      <c r="B79" s="5">
        <v>1.8</v>
      </c>
      <c r="C79" s="5">
        <v>1</v>
      </c>
    </row>
    <row r="80" spans="1:3" x14ac:dyDescent="0.2">
      <c r="A80" s="5">
        <v>2.6363636363636362</v>
      </c>
      <c r="B80" s="5">
        <v>3</v>
      </c>
      <c r="C80" s="5">
        <v>2.75</v>
      </c>
    </row>
    <row r="81" spans="1:3" x14ac:dyDescent="0.2">
      <c r="A81" s="5">
        <v>1.7272727272727273</v>
      </c>
      <c r="B81" s="5">
        <v>1.4</v>
      </c>
      <c r="C81" s="5">
        <v>1.5</v>
      </c>
    </row>
    <row r="82" spans="1:3" x14ac:dyDescent="0.2">
      <c r="A82" s="5">
        <v>2.3636363636363638</v>
      </c>
      <c r="B82" s="5">
        <v>1</v>
      </c>
      <c r="C82" s="5">
        <v>2.375</v>
      </c>
    </row>
    <row r="83" spans="1:3" x14ac:dyDescent="0.2">
      <c r="A83" s="5">
        <v>2.0909090909090908</v>
      </c>
      <c r="B83" s="5">
        <v>3</v>
      </c>
      <c r="C83" s="5">
        <v>3.625</v>
      </c>
    </row>
    <row r="84" spans="1:3" x14ac:dyDescent="0.2">
      <c r="A84" s="5">
        <v>2</v>
      </c>
      <c r="B84" s="5">
        <v>1.8</v>
      </c>
      <c r="C84" s="5">
        <v>1</v>
      </c>
    </row>
    <row r="85" spans="1:3" x14ac:dyDescent="0.2">
      <c r="A85" s="5">
        <v>1.0909090909090908</v>
      </c>
      <c r="B85" s="5">
        <v>1</v>
      </c>
      <c r="C85" s="5">
        <v>1.625</v>
      </c>
    </row>
    <row r="86" spans="1:3" x14ac:dyDescent="0.2">
      <c r="A86" s="5">
        <v>2</v>
      </c>
      <c r="B86" s="5">
        <v>1.8</v>
      </c>
      <c r="C86" s="5">
        <v>1</v>
      </c>
    </row>
    <row r="87" spans="1:3" x14ac:dyDescent="0.2">
      <c r="A87" s="5">
        <v>2.0909090909090908</v>
      </c>
      <c r="B87" s="5">
        <v>2</v>
      </c>
      <c r="C87" s="5">
        <v>2.375</v>
      </c>
    </row>
    <row r="88" spans="1:3" x14ac:dyDescent="0.2">
      <c r="A88" s="5">
        <v>2.3636363636363638</v>
      </c>
      <c r="B88" s="5">
        <v>1.8</v>
      </c>
      <c r="C88" s="5">
        <v>2.625</v>
      </c>
    </row>
    <row r="89" spans="1:3" x14ac:dyDescent="0.2">
      <c r="A89" s="5">
        <v>1.4545454545454546</v>
      </c>
      <c r="B89" s="5">
        <v>2.4</v>
      </c>
      <c r="C89" s="5">
        <v>3.25</v>
      </c>
    </row>
    <row r="90" spans="1:3" x14ac:dyDescent="0.2">
      <c r="A90" s="5">
        <v>1.1818181818181819</v>
      </c>
      <c r="B90" s="5">
        <v>1.6</v>
      </c>
      <c r="C90" s="5">
        <v>1.375</v>
      </c>
    </row>
    <row r="91" spans="1:3" x14ac:dyDescent="0.2">
      <c r="A91" s="5">
        <v>2</v>
      </c>
      <c r="B91" s="5">
        <v>4</v>
      </c>
      <c r="C91" s="5">
        <v>3.125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Tabelas</vt:lpstr>
      <vt:lpstr>Figuras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Larissa Mendonça</cp:lastModifiedBy>
  <dcterms:created xsi:type="dcterms:W3CDTF">2026-10-05T03:35:43Z</dcterms:created>
  <dcterms:modified xsi:type="dcterms:W3CDTF">2026-10-05T03:45:57Z</dcterms:modified>
</cp:coreProperties>
</file>